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uan0314/Desktop/"/>
    </mc:Choice>
  </mc:AlternateContent>
  <xr:revisionPtr revIDLastSave="0" documentId="13_ncr:1_{953F0B44-7694-5F4F-9133-F61818FEC554}" xr6:coauthVersionLast="47" xr6:coauthVersionMax="47" xr10:uidLastSave="{00000000-0000-0000-0000-000000000000}"/>
  <bookViews>
    <workbookView xWindow="0" yWindow="660" windowWidth="30240" windowHeight="18980" xr2:uid="{3B7FD82B-DCE1-4E4B-951F-720714CBAC45}"/>
  </bookViews>
  <sheets>
    <sheet name="Dashboard" sheetId="8" r:id="rId1"/>
    <sheet name="report" sheetId="6" r:id="rId2"/>
    <sheet name="profit_per_hour" sheetId="17" r:id="rId3"/>
    <sheet name="profit_per_km" sheetId="18" r:id="rId4"/>
    <sheet name="best_day_to_dash" sheetId="13" r:id="rId5"/>
    <sheet name="best_time_to_dash" sheetId="21" r:id="rId6"/>
    <sheet name="shift" sheetId="1" r:id="rId7"/>
    <sheet name="expenses" sheetId="2" r:id="rId8"/>
    <sheet name="car_services" sheetId="4" r:id="rId9"/>
    <sheet name="fuel" sheetId="3" r:id="rId10"/>
  </sheets>
  <definedNames>
    <definedName name="NativeTimeline_date">#N/A</definedName>
    <definedName name="NativeTimeline_Order_Date">#N/A</definedName>
  </definedNames>
  <calcPr calcId="181029"/>
  <pivotCaches>
    <pivotCache cacheId="118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7" r:id="rId12"/>
      </x15:timelineCachePivotCaches>
    </ext>
    <ext xmlns:x15="http://schemas.microsoft.com/office/spreadsheetml/2010/11/main" uri="{D0CA8CA8-9F24-4464-BF8E-62219DCF47F9}">
      <x15:timelineCacheRefs>
        <x15:timelineCacheRef r:id="rId13"/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C4" i="8"/>
  <c r="P4" i="8"/>
  <c r="I4" i="8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D2" i="1"/>
  <c r="L2" i="1" s="1" a="1"/>
  <c r="L2" i="1" s="1"/>
  <c r="D3" i="1"/>
  <c r="D4" i="1"/>
  <c r="D5" i="1"/>
  <c r="D6" i="1"/>
  <c r="D7" i="1"/>
  <c r="D8" i="1"/>
  <c r="D9" i="1"/>
  <c r="L9" i="1" s="1" a="1"/>
  <c r="L9" i="1" s="1"/>
  <c r="D10" i="1"/>
  <c r="M10" i="1" s="1" a="1"/>
  <c r="M10" i="1" s="1"/>
  <c r="D11" i="1"/>
  <c r="D12" i="1"/>
  <c r="D13" i="1"/>
  <c r="D14" i="1"/>
  <c r="D15" i="1"/>
  <c r="D16" i="1"/>
  <c r="W2" i="1"/>
  <c r="X2" i="1" s="1"/>
  <c r="W3" i="1"/>
  <c r="W4" i="1"/>
  <c r="X4" i="1" s="1"/>
  <c r="W5" i="1"/>
  <c r="X5" i="1" s="1"/>
  <c r="W6" i="1"/>
  <c r="X6" i="1" s="1"/>
  <c r="Y6" i="1" s="1"/>
  <c r="W7" i="1"/>
  <c r="X7" i="1" s="1"/>
  <c r="Y7" i="1" s="1"/>
  <c r="W8" i="1"/>
  <c r="X8" i="1" s="1"/>
  <c r="Y8" i="1" s="1"/>
  <c r="W9" i="1"/>
  <c r="X9" i="1" s="1"/>
  <c r="W10" i="1"/>
  <c r="X10" i="1" s="1"/>
  <c r="W11" i="1"/>
  <c r="W12" i="1"/>
  <c r="X12" i="1" s="1"/>
  <c r="W13" i="1"/>
  <c r="X13" i="1" s="1"/>
  <c r="W14" i="1"/>
  <c r="X14" i="1" s="1"/>
  <c r="Y14" i="1" s="1"/>
  <c r="W15" i="1"/>
  <c r="X15" i="1" s="1"/>
  <c r="Y15" i="1" s="1"/>
  <c r="W16" i="1"/>
  <c r="X16" i="1" s="1"/>
  <c r="Y16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G2" i="3"/>
  <c r="G3" i="3"/>
  <c r="G4" i="3"/>
  <c r="G5" i="3"/>
  <c r="G6" i="3"/>
  <c r="M11" i="1" a="1"/>
  <c r="M11" i="1" s="1"/>
  <c r="M12" i="1" a="1"/>
  <c r="M12" i="1" s="1"/>
  <c r="L11" i="1" a="1"/>
  <c r="L11" i="1" s="1"/>
  <c r="L12" i="1" a="1"/>
  <c r="L12" i="1" s="1"/>
  <c r="D2" i="4"/>
  <c r="F2" i="2"/>
  <c r="G2" i="2" s="1"/>
  <c r="M15" i="1" s="1" a="1"/>
  <c r="M15" i="1" s="1"/>
  <c r="F3" i="2"/>
  <c r="G3" i="2" s="1"/>
  <c r="M3" i="1" s="1" a="1"/>
  <c r="M3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J2" i="1"/>
  <c r="N2" i="1" s="1"/>
  <c r="J3" i="1"/>
  <c r="N3" i="1" s="1"/>
  <c r="J4" i="1"/>
  <c r="N4" i="1" s="1"/>
  <c r="J5" i="1"/>
  <c r="O5" i="1" s="1"/>
  <c r="J6" i="1"/>
  <c r="N6" i="1" s="1"/>
  <c r="J7" i="1"/>
  <c r="J8" i="1"/>
  <c r="N8" i="1" s="1"/>
  <c r="J9" i="1"/>
  <c r="J10" i="1"/>
  <c r="J11" i="1"/>
  <c r="J12" i="1"/>
  <c r="N12" i="1" s="1"/>
  <c r="J13" i="1"/>
  <c r="N13" i="1" s="1"/>
  <c r="J14" i="1"/>
  <c r="O14" i="1" s="1"/>
  <c r="J15" i="1"/>
  <c r="O15" i="1" s="1"/>
  <c r="J16" i="1"/>
  <c r="N16" i="1" s="1"/>
  <c r="L10" i="1" l="1" a="1"/>
  <c r="L10" i="1" s="1"/>
  <c r="M16" i="1" a="1"/>
  <c r="M16" i="1" s="1"/>
  <c r="M8" i="1" a="1"/>
  <c r="M8" i="1" s="1"/>
  <c r="O11" i="1"/>
  <c r="L8" i="1" a="1"/>
  <c r="L8" i="1" s="1"/>
  <c r="M4" i="1" a="1"/>
  <c r="M4" i="1" s="1"/>
  <c r="L15" i="1" a="1"/>
  <c r="L15" i="1" s="1"/>
  <c r="L7" i="1" a="1"/>
  <c r="L7" i="1" s="1"/>
  <c r="O10" i="1"/>
  <c r="L4" i="1" a="1"/>
  <c r="L4" i="1" s="1"/>
  <c r="L14" i="1" a="1"/>
  <c r="L14" i="1" s="1"/>
  <c r="L6" i="1" a="1"/>
  <c r="L6" i="1" s="1"/>
  <c r="O9" i="1"/>
  <c r="L3" i="1" a="1"/>
  <c r="L3" i="1" s="1"/>
  <c r="M2" i="1" a="1"/>
  <c r="M2" i="1" s="1"/>
  <c r="L13" i="1" a="1"/>
  <c r="L13" i="1" s="1"/>
  <c r="L5" i="1" a="1"/>
  <c r="L5" i="1" s="1"/>
  <c r="O7" i="1"/>
  <c r="L16" i="1" a="1"/>
  <c r="L16" i="1" s="1"/>
  <c r="Y9" i="1"/>
  <c r="X11" i="1"/>
  <c r="Y11" i="1" s="1"/>
  <c r="X3" i="1"/>
  <c r="Y3" i="1" s="1"/>
  <c r="Y10" i="1"/>
  <c r="Y2" i="1"/>
  <c r="Y13" i="1"/>
  <c r="Y5" i="1"/>
  <c r="M7" i="1" a="1"/>
  <c r="M7" i="1" s="1"/>
  <c r="Y12" i="1"/>
  <c r="Y4" i="1"/>
  <c r="M9" i="1" a="1"/>
  <c r="M9" i="1" s="1"/>
  <c r="M14" i="1" a="1"/>
  <c r="M14" i="1" s="1"/>
  <c r="M6" i="1" a="1"/>
  <c r="M6" i="1" s="1"/>
  <c r="M13" i="1" a="1"/>
  <c r="M13" i="1" s="1"/>
  <c r="M5" i="1" a="1"/>
  <c r="M5" i="1" s="1"/>
  <c r="O2" i="1"/>
  <c r="O6" i="1"/>
  <c r="O3" i="1"/>
  <c r="P3" i="1" s="1"/>
  <c r="Q3" i="1" s="1"/>
  <c r="R3" i="1" s="1"/>
  <c r="N7" i="1"/>
  <c r="P7" i="1" s="1"/>
  <c r="Q7" i="1" s="1"/>
  <c r="R7" i="1" s="1"/>
  <c r="N5" i="1"/>
  <c r="O16" i="1"/>
  <c r="P16" i="1" s="1"/>
  <c r="Q16" i="1" s="1"/>
  <c r="R16" i="1" s="1"/>
  <c r="O8" i="1"/>
  <c r="P8" i="1" s="1"/>
  <c r="Q8" i="1" s="1"/>
  <c r="R8" i="1" s="1"/>
  <c r="O13" i="1"/>
  <c r="O12" i="1"/>
  <c r="P12" i="1" s="1"/>
  <c r="Q12" i="1" s="1"/>
  <c r="R12" i="1" s="1"/>
  <c r="O4" i="1"/>
  <c r="P4" i="1" s="1"/>
  <c r="Q4" i="1" s="1"/>
  <c r="R4" i="1" s="1"/>
  <c r="N9" i="1"/>
  <c r="N15" i="1"/>
  <c r="P15" i="1" s="1"/>
  <c r="Q15" i="1" s="1"/>
  <c r="R15" i="1" s="1"/>
  <c r="N14" i="1"/>
  <c r="N11" i="1"/>
  <c r="P11" i="1" s="1"/>
  <c r="Q11" i="1" s="1"/>
  <c r="R11" i="1" s="1"/>
  <c r="N10" i="1"/>
  <c r="P10" i="1" s="1"/>
  <c r="Q10" i="1" s="1"/>
  <c r="R10" i="1" s="1"/>
  <c r="P9" i="1" l="1"/>
  <c r="Q9" i="1" s="1"/>
  <c r="R9" i="1" s="1"/>
  <c r="P13" i="1"/>
  <c r="Q13" i="1" s="1"/>
  <c r="R13" i="1" s="1"/>
  <c r="P14" i="1"/>
  <c r="Q14" i="1" s="1"/>
  <c r="P2" i="1"/>
  <c r="Q2" i="1" s="1"/>
  <c r="R2" i="1" s="1"/>
  <c r="P6" i="1"/>
  <c r="Q6" i="1" s="1"/>
  <c r="P5" i="1"/>
  <c r="Q5" i="1" s="1"/>
  <c r="R5" i="1" s="1"/>
  <c r="S8" i="1"/>
  <c r="S11" i="1"/>
  <c r="S16" i="1"/>
  <c r="S15" i="1"/>
  <c r="S7" i="1"/>
  <c r="S13" i="1"/>
  <c r="S9" i="1"/>
  <c r="S3" i="1"/>
  <c r="S10" i="1"/>
  <c r="S4" i="1"/>
  <c r="S12" i="1"/>
  <c r="S6" i="1" l="1"/>
  <c r="R6" i="1"/>
  <c r="S14" i="1"/>
  <c r="R14" i="1"/>
  <c r="S2" i="1"/>
  <c r="S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<sst xmlns="http://schemas.openxmlformats.org/spreadsheetml/2006/main" count="90" uniqueCount="68">
  <si>
    <t>date</t>
  </si>
  <si>
    <t>day_of_week</t>
  </si>
  <si>
    <t>start_time</t>
  </si>
  <si>
    <t>end_time</t>
  </si>
  <si>
    <t>deliveries_completed</t>
  </si>
  <si>
    <t>earnings</t>
  </si>
  <si>
    <t>tips</t>
  </si>
  <si>
    <t>odometer_start</t>
  </si>
  <si>
    <t>odometer_end</t>
  </si>
  <si>
    <t>business_km</t>
  </si>
  <si>
    <t>cost_type</t>
  </si>
  <si>
    <t>invoice_date</t>
  </si>
  <si>
    <t>period_start</t>
  </si>
  <si>
    <t>period_end</t>
  </si>
  <si>
    <t>total_cost</t>
  </si>
  <si>
    <t>odometer</t>
  </si>
  <si>
    <t>litres</t>
  </si>
  <si>
    <t>price_per_litres</t>
  </si>
  <si>
    <t>total_time (hrs)</t>
  </si>
  <si>
    <t>Sat</t>
  </si>
  <si>
    <t>Wed</t>
  </si>
  <si>
    <t>Fri</t>
  </si>
  <si>
    <t>Sun</t>
  </si>
  <si>
    <t>Tue</t>
  </si>
  <si>
    <t>Insurance</t>
  </si>
  <si>
    <t>Rego</t>
  </si>
  <si>
    <t>total_income</t>
  </si>
  <si>
    <t>insurance_expense</t>
  </si>
  <si>
    <t>total_hour</t>
  </si>
  <si>
    <t>cost_per_hour</t>
  </si>
  <si>
    <t>km_covered</t>
  </si>
  <si>
    <t>cost_per_km</t>
  </si>
  <si>
    <t>rego_expenses</t>
  </si>
  <si>
    <t>service_expense</t>
  </si>
  <si>
    <t>fuel_litres_per_100km</t>
  </si>
  <si>
    <t>fuel_expense</t>
  </si>
  <si>
    <t>total_expense</t>
  </si>
  <si>
    <t>total_profit</t>
  </si>
  <si>
    <t>profit_per_hour</t>
  </si>
  <si>
    <t>profit_per_km</t>
  </si>
  <si>
    <t>year</t>
  </si>
  <si>
    <t>month</t>
  </si>
  <si>
    <t>week_num</t>
  </si>
  <si>
    <t>week_start</t>
  </si>
  <si>
    <t>week_end</t>
  </si>
  <si>
    <t>week_label</t>
  </si>
  <si>
    <t>Row Labels</t>
  </si>
  <si>
    <t>Grand Total</t>
  </si>
  <si>
    <t>Jan</t>
  </si>
  <si>
    <t>06 Jan - 12 Jan</t>
  </si>
  <si>
    <t>13 Jan - 19 Jan</t>
  </si>
  <si>
    <t>20 Jan - 26 Jan</t>
  </si>
  <si>
    <t>27 Jan - 02 Feb</t>
  </si>
  <si>
    <t>30 Dec - 05 Jan</t>
  </si>
  <si>
    <t>Average of profit_per_hour</t>
  </si>
  <si>
    <t>Average of profit_per_km</t>
  </si>
  <si>
    <t>Total Profit</t>
  </si>
  <si>
    <t>Average Profit per Hour</t>
  </si>
  <si>
    <t>Average Profit per KM</t>
  </si>
  <si>
    <t>\</t>
  </si>
  <si>
    <t>Profit Per Hour</t>
  </si>
  <si>
    <t>Completed  Deliveries</t>
  </si>
  <si>
    <t xml:space="preserve">Profit ($) </t>
  </si>
  <si>
    <t>day_period</t>
  </si>
  <si>
    <t>Afternoon Slump</t>
  </si>
  <si>
    <t>Dinner Rush</t>
  </si>
  <si>
    <t>Lunch Peak</t>
  </si>
  <si>
    <t>Is Being a Dasher A Real Job?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</si>
</sst>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5" formatCode="&quot;True&quot;;&quot;True&quot;;&quot;False&quot;"/>
    <numFmt numFmtId="166" formatCode="&quot;On&quot;;&quot;On&quot;;&quot;Off&quot;"/>
    <numFmt numFmtId="167" formatCode="[$€-2]\ #,##0.00_);[Red]\([$€-2]\ #,##0.00\)"/>
    <numFmt numFmtId="168" formatCode="[$-F400]h:mm:ss\ AM/PM"/>
    <numFmt numFmtId="170" formatCode="&quot;$&quot;#,##0.00"/>
    <numFmt numFmtId="176" formatCode="&quot;$&quot;#,##0.000000_);[Red]\(&quot;$&quot;#,##0.000000\)"/>
    <numFmt numFmtId="177" formatCode="&quot;$&quot;#,##0.000"/>
    <numFmt numFmtId="179" formatCode="[$-409]h:mm\ AM/PM;@"/>
  </numFmts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Aptos Narrow"/>
      <scheme val="minor"/>
    </font>
    <font>
      <b/>
      <sz val="20"/>
      <color theme="1"/>
      <name val="Aptos Narrow"/>
      <scheme val="minor"/>
    </font>
    <font>
      <b/>
      <sz val="20"/>
      <color rgb="FF000000"/>
      <name val="Aptos Narrow"/>
      <scheme val="minor"/>
    </font>
    <font>
      <sz val="28"/>
      <color theme="1"/>
      <name val="Aptos Narrow"/>
      <scheme val="minor"/>
    </font>
    <font>
      <sz val="28"/>
      <color rgb="FF000000"/>
      <name val="Aptos Narrow"/>
      <scheme val="minor"/>
    </font>
    <font>
      <sz val="72"/>
      <color theme="1"/>
      <name val="Aptos Narrow"/>
      <scheme val="minor"/>
    </font>
    <font>
      <b/>
      <sz val="48"/>
      <color theme="0"/>
      <name val="Aptos Narrow"/>
      <scheme val="minor"/>
    </font>
    <font>
      <b/>
      <sz val="72"/>
      <color theme="0"/>
      <name val="Aptos Narrow"/>
      <scheme val="minor"/>
    </font>
    <font>
      <sz val="36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8" fontId="3" fillId="0" borderId="0" xfId="0" applyNumberFormat="1" applyFont="1"/>
    <xf numFmtId="168" fontId="2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0" fontId="2" fillId="0" borderId="0" xfId="0" applyNumberFormat="1" applyFont="1"/>
    <xf numFmtId="0" fontId="3" fillId="0" borderId="0" xfId="0" applyNumberFormat="1" applyFont="1"/>
    <xf numFmtId="0" fontId="0" fillId="0" borderId="0" xfId="0" applyNumberFormat="1"/>
    <xf numFmtId="170" fontId="2" fillId="0" borderId="0" xfId="0" applyNumberFormat="1" applyFont="1"/>
    <xf numFmtId="170" fontId="3" fillId="0" borderId="0" xfId="0" applyNumberFormat="1" applyFont="1"/>
    <xf numFmtId="170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NumberFormat="1" applyFont="1" applyFill="1" applyBorder="1"/>
    <xf numFmtId="176" fontId="3" fillId="0" borderId="0" xfId="0" applyNumberFormat="1" applyFont="1"/>
    <xf numFmtId="177" fontId="2" fillId="0" borderId="0" xfId="0" applyNumberFormat="1" applyFont="1"/>
    <xf numFmtId="177" fontId="3" fillId="0" borderId="0" xfId="0" applyNumberFormat="1" applyFont="1"/>
    <xf numFmtId="177" fontId="0" fillId="0" borderId="0" xfId="0" applyNumberFormat="1"/>
    <xf numFmtId="44" fontId="0" fillId="0" borderId="0" xfId="1" applyFont="1"/>
    <xf numFmtId="170" fontId="2" fillId="0" borderId="0" xfId="1" applyNumberFormat="1" applyFont="1"/>
    <xf numFmtId="170" fontId="3" fillId="0" borderId="0" xfId="1" applyNumberFormat="1" applyFont="1"/>
    <xf numFmtId="170" fontId="0" fillId="0" borderId="0" xfId="1" applyNumberFormat="1" applyFont="1"/>
    <xf numFmtId="14" fontId="2" fillId="0" borderId="0" xfId="0" applyNumberFormat="1" applyFont="1"/>
    <xf numFmtId="1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2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0" fontId="13" fillId="3" borderId="0" xfId="1" applyNumberFormat="1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/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0" fontId="8" fillId="4" borderId="0" xfId="1" applyNumberFormat="1" applyFont="1" applyFill="1" applyAlignment="1">
      <alignment horizontal="center" vertical="center"/>
    </xf>
    <xf numFmtId="170" fontId="9" fillId="4" borderId="0" xfId="1" applyNumberFormat="1" applyFont="1" applyFill="1" applyAlignment="1">
      <alignment horizontal="center" vertical="center"/>
    </xf>
    <xf numFmtId="0" fontId="10" fillId="4" borderId="0" xfId="0" applyFont="1" applyFill="1"/>
    <xf numFmtId="179" fontId="0" fillId="0" borderId="0" xfId="0" pivotButton="1" applyNumberFormat="1"/>
    <xf numFmtId="179" fontId="0" fillId="0" borderId="0" xfId="0" applyNumberFormat="1" applyAlignment="1">
      <alignment horizontal="left"/>
    </xf>
    <xf numFmtId="179" fontId="0" fillId="0" borderId="0" xfId="0" applyNumberFormat="1"/>
  </cellXfs>
  <cellStyles count="2">
    <cellStyle name="Currency" xfId="1" builtinId="4"/>
    <cellStyle name="Normal" xfId="0" builtinId="0"/>
  </cellStyles>
  <dxfs count="86"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/>
        <i val="0"/>
        <sz val="11"/>
        <color theme="0"/>
        <name val="Aptos Narrow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Aptos Narrow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numFmt numFmtId="179" formatCode="[$-409]h:mm\ AM/PM;@"/>
    </dxf>
    <dxf>
      <numFmt numFmtId="179" formatCode="[$-409]h:mm\ AM/PM;@"/>
    </dxf>
    <dxf>
      <numFmt numFmtId="179" formatCode="[$-409]h:mm\ AM/P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7" formatCode="&quot;$&quot;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6" formatCode="&quot;$&quot;#,##0.000000_);[Red]\(&quot;$&quot;#,##0.0000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0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</dxfs>
  <tableStyles count="1" defaultTableStyle="TableStyleMedium2" defaultPivotStyle="PivotStyleLight16">
    <tableStyle name="Purple Timeline Style" pivot="0" table="0" count="8" xr9:uid="{AF3807C0-EBC5-724E-B290-C04328CD2C21}">
      <tableStyleElement type="wholeTable" dxfId="29"/>
      <tableStyleElement type="headerRow" dxfId="28"/>
    </tableStyle>
  </tableStyles>
  <colors>
    <mruColors>
      <color rgb="FFF5C7BF"/>
      <color rgb="FFFF7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9650DC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Aptos Narrow"/>
            <family val="2"/>
            <scheme val="minor"/>
          </font>
        </dxf>
        <dxf>
          <font>
            <b/>
            <i val="0"/>
            <sz val="9"/>
            <color theme="0"/>
            <name val="Aptos Narrow"/>
            <family val="2"/>
            <scheme val="minor"/>
          </font>
        </dxf>
        <dxf>
          <font>
            <b/>
            <i val="0"/>
            <sz val="9"/>
            <color theme="0"/>
            <name val="Aptos Narrow"/>
            <family val="2"/>
            <scheme val="minor"/>
          </font>
        </dxf>
        <dxf>
          <font>
            <b/>
            <i val="0"/>
            <sz val="10"/>
            <color theme="0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[doordash.xlsx]report!PivotTable8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600" b="1" i="0" u="none" strike="noStrike" baseline="0">
                <a:effectLst/>
              </a:rPr>
              <a:t>Total Profit Over Time</a:t>
            </a:r>
            <a:endParaRPr lang="en-US" sz="6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068772709371824E-2"/>
          <c:y val="0.14689272488983582"/>
          <c:w val="0.87390837789703124"/>
          <c:h val="0.59482341333905409"/>
        </c:manualLayout>
      </c:layout>
      <c:lineChart>
        <c:grouping val="stacked"/>
        <c:varyColors val="0"/>
        <c:ser>
          <c:idx val="0"/>
          <c:order val="0"/>
          <c:tx>
            <c:strRef>
              <c:f>report!$B$3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report!$A$4:$A$21</c:f>
              <c:multiLvlStrCache>
                <c:ptCount val="15"/>
                <c:lvl>
                  <c:pt idx="0">
                    <c:v>1/3/25</c:v>
                  </c:pt>
                  <c:pt idx="1">
                    <c:v>1/5/25</c:v>
                  </c:pt>
                  <c:pt idx="2">
                    <c:v>1/7/25</c:v>
                  </c:pt>
                  <c:pt idx="3">
                    <c:v>1/10/25</c:v>
                  </c:pt>
                  <c:pt idx="4">
                    <c:v>1/11/25</c:v>
                  </c:pt>
                  <c:pt idx="5">
                    <c:v>1/12/25</c:v>
                  </c:pt>
                  <c:pt idx="6">
                    <c:v>1/15/25</c:v>
                  </c:pt>
                  <c:pt idx="7">
                    <c:v>1/17/25</c:v>
                  </c:pt>
                  <c:pt idx="8">
                    <c:v>1/18/25</c:v>
                  </c:pt>
                  <c:pt idx="9">
                    <c:v>1/19/25</c:v>
                  </c:pt>
                  <c:pt idx="10">
                    <c:v>1/22/25</c:v>
                  </c:pt>
                  <c:pt idx="11">
                    <c:v>1/24/25</c:v>
                  </c:pt>
                  <c:pt idx="12">
                    <c:v>1/25/25</c:v>
                  </c:pt>
                  <c:pt idx="13">
                    <c:v>1/26/25</c:v>
                  </c:pt>
                  <c:pt idx="14">
                    <c:v>1/28/25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report!$B$4:$B$21</c:f>
              <c:numCache>
                <c:formatCode>General</c:formatCode>
                <c:ptCount val="15"/>
                <c:pt idx="0">
                  <c:v>140.36090252340253</c:v>
                </c:pt>
                <c:pt idx="1">
                  <c:v>149.78081533882784</c:v>
                </c:pt>
                <c:pt idx="2">
                  <c:v>91.053876892551898</c:v>
                </c:pt>
                <c:pt idx="3">
                  <c:v>174.09641533882785</c:v>
                </c:pt>
                <c:pt idx="4">
                  <c:v>117.67778970797721</c:v>
                </c:pt>
                <c:pt idx="5">
                  <c:v>138.94250252340254</c:v>
                </c:pt>
                <c:pt idx="6">
                  <c:v>82.251076892551893</c:v>
                </c:pt>
                <c:pt idx="7">
                  <c:v>159.96756919006918</c:v>
                </c:pt>
                <c:pt idx="8">
                  <c:v>133.22223585673584</c:v>
                </c:pt>
                <c:pt idx="9">
                  <c:v>121.9995691900692</c:v>
                </c:pt>
                <c:pt idx="10">
                  <c:v>91.115743559218572</c:v>
                </c:pt>
                <c:pt idx="11">
                  <c:v>190.52446148758648</c:v>
                </c:pt>
                <c:pt idx="12">
                  <c:v>151.97361533882784</c:v>
                </c:pt>
                <c:pt idx="13">
                  <c:v>115.59565637464387</c:v>
                </c:pt>
                <c:pt idx="14">
                  <c:v>63.14783074379325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B-F946-9B67-D02C83840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20639"/>
        <c:axId val="318721983"/>
      </c:lineChart>
      <c:catAx>
        <c:axId val="3187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21983"/>
        <c:crosses val="autoZero"/>
        <c:auto val="1"/>
        <c:lblAlgn val="ctr"/>
        <c:lblOffset val="100"/>
        <c:noMultiLvlLbl val="0"/>
      </c:catAx>
      <c:valAx>
        <c:axId val="3187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62732822653217"/>
          <c:y val="2.6792015798956424E-2"/>
          <c:w val="0.15646924212598426"/>
          <c:h val="0.16091464428536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[doordash.xlsx]best_day_to_dash!PivotTable13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800" b="1" i="0" u="none" strike="noStrike" baseline="0">
                <a:effectLst/>
              </a:rPr>
              <a:t>Best Time to Dash — Profit per Hour vs Deliveries</a:t>
            </a:r>
            <a:endParaRPr lang="en-US" sz="4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best_day_to_dash!$B$3</c:f>
              <c:strCache>
                <c:ptCount val="1"/>
                <c:pt idx="0">
                  <c:v>Profit Per Hour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best_day_to_dash!$A$4:$A$15</c:f>
              <c:multiLvlStrCache>
                <c:ptCount val="6"/>
                <c:lvl>
                  <c:pt idx="0">
                    <c:v>Dinner Rush</c:v>
                  </c:pt>
                  <c:pt idx="1">
                    <c:v>Lunch Peak</c:v>
                  </c:pt>
                  <c:pt idx="2">
                    <c:v>Lunch Peak</c:v>
                  </c:pt>
                  <c:pt idx="3">
                    <c:v>Dinner Rush</c:v>
                  </c:pt>
                  <c:pt idx="4">
                    <c:v>Afternoon Slump</c:v>
                  </c:pt>
                  <c:pt idx="5">
                    <c:v>Dinner Rush</c:v>
                  </c:pt>
                </c:lvl>
                <c:lvl>
                  <c:pt idx="0">
                    <c:v>Sun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Fri</c:v>
                  </c:pt>
                  <c:pt idx="4">
                    <c:v>Sat</c:v>
                  </c:pt>
                </c:lvl>
              </c:multiLvlStrCache>
            </c:multiLvlStrRef>
          </c:cat>
          <c:val>
            <c:numRef>
              <c:f>best_day_to_dash!$B$4:$B$15</c:f>
              <c:numCache>
                <c:formatCode>General</c:formatCode>
                <c:ptCount val="6"/>
                <c:pt idx="0">
                  <c:v>32.886868487993482</c:v>
                </c:pt>
                <c:pt idx="1">
                  <c:v>27.805212297517301</c:v>
                </c:pt>
                <c:pt idx="2">
                  <c:v>28.894470075295075</c:v>
                </c:pt>
                <c:pt idx="3">
                  <c:v>37.968775630850637</c:v>
                </c:pt>
                <c:pt idx="4">
                  <c:v>33.771914519739518</c:v>
                </c:pt>
                <c:pt idx="5">
                  <c:v>33.46389229751729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E-7049-9D25-657CB196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446783"/>
        <c:axId val="338510271"/>
      </c:barChart>
      <c:lineChart>
        <c:grouping val="standard"/>
        <c:varyColors val="0"/>
        <c:ser>
          <c:idx val="1"/>
          <c:order val="1"/>
          <c:tx>
            <c:strRef>
              <c:f>best_day_to_dash!$C$3</c:f>
              <c:strCache>
                <c:ptCount val="1"/>
                <c:pt idx="0">
                  <c:v>Completed  Deliveries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best_day_to_dash!$A$4:$A$15</c:f>
              <c:multiLvlStrCache>
                <c:ptCount val="6"/>
                <c:lvl>
                  <c:pt idx="0">
                    <c:v>Dinner Rush</c:v>
                  </c:pt>
                  <c:pt idx="1">
                    <c:v>Lunch Peak</c:v>
                  </c:pt>
                  <c:pt idx="2">
                    <c:v>Lunch Peak</c:v>
                  </c:pt>
                  <c:pt idx="3">
                    <c:v>Dinner Rush</c:v>
                  </c:pt>
                  <c:pt idx="4">
                    <c:v>Afternoon Slump</c:v>
                  </c:pt>
                  <c:pt idx="5">
                    <c:v>Dinner Rush</c:v>
                  </c:pt>
                </c:lvl>
                <c:lvl>
                  <c:pt idx="0">
                    <c:v>Sun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Fri</c:v>
                  </c:pt>
                  <c:pt idx="4">
                    <c:v>Sat</c:v>
                  </c:pt>
                </c:lvl>
              </c:multiLvlStrCache>
            </c:multiLvlStrRef>
          </c:cat>
          <c:val>
            <c:numRef>
              <c:f>best_day_to_dash!$C$4:$C$15</c:f>
              <c:numCache>
                <c:formatCode>General</c:formatCode>
                <c:ptCount val="6"/>
                <c:pt idx="0">
                  <c:v>7.75</c:v>
                </c:pt>
                <c:pt idx="1">
                  <c:v>5</c:v>
                </c:pt>
                <c:pt idx="2">
                  <c:v>5.5</c:v>
                </c:pt>
                <c:pt idx="3">
                  <c:v>9.5</c:v>
                </c:pt>
                <c:pt idx="4">
                  <c:v>9</c:v>
                </c:pt>
                <c:pt idx="5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DE-7049-9D25-657CB196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46783"/>
        <c:axId val="338510271"/>
      </c:lineChart>
      <c:catAx>
        <c:axId val="3044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10271"/>
        <c:crosses val="autoZero"/>
        <c:auto val="1"/>
        <c:lblAlgn val="ctr"/>
        <c:lblOffset val="100"/>
        <c:noMultiLvlLbl val="0"/>
      </c:catAx>
      <c:valAx>
        <c:axId val="3385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4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[doordash.xlsx]profit_per_km!PivotTable16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800" b="1" i="0" u="none" strike="noStrike" baseline="0">
                <a:effectLst/>
                <a:latin typeface="+mn-lt"/>
              </a:rPr>
              <a:t>Profit per KM Over Time</a:t>
            </a:r>
            <a:endParaRPr lang="en-US" sz="48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profit_per_km!$B$3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multiLvlStrRef>
              <c:f>profit_per_km!$A$4:$A$21</c:f>
              <c:multiLvlStrCache>
                <c:ptCount val="15"/>
                <c:lvl>
                  <c:pt idx="0">
                    <c:v>1/3/25</c:v>
                  </c:pt>
                  <c:pt idx="1">
                    <c:v>1/5/25</c:v>
                  </c:pt>
                  <c:pt idx="2">
                    <c:v>1/7/25</c:v>
                  </c:pt>
                  <c:pt idx="3">
                    <c:v>1/10/25</c:v>
                  </c:pt>
                  <c:pt idx="4">
                    <c:v>1/11/25</c:v>
                  </c:pt>
                  <c:pt idx="5">
                    <c:v>1/12/25</c:v>
                  </c:pt>
                  <c:pt idx="6">
                    <c:v>1/15/25</c:v>
                  </c:pt>
                  <c:pt idx="7">
                    <c:v>1/17/25</c:v>
                  </c:pt>
                  <c:pt idx="8">
                    <c:v>1/18/25</c:v>
                  </c:pt>
                  <c:pt idx="9">
                    <c:v>1/19/25</c:v>
                  </c:pt>
                  <c:pt idx="10">
                    <c:v>1/22/25</c:v>
                  </c:pt>
                  <c:pt idx="11">
                    <c:v>1/24/25</c:v>
                  </c:pt>
                  <c:pt idx="12">
                    <c:v>1/25/25</c:v>
                  </c:pt>
                  <c:pt idx="13">
                    <c:v>1/26/25</c:v>
                  </c:pt>
                  <c:pt idx="14">
                    <c:v>1/28/25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profit_per_km!$B$4:$B$21</c:f>
              <c:numCache>
                <c:formatCode>General</c:formatCode>
                <c:ptCount val="15"/>
                <c:pt idx="0">
                  <c:v>3.6937079611421719</c:v>
                </c:pt>
                <c:pt idx="1">
                  <c:v>3.5662098890197105</c:v>
                </c:pt>
                <c:pt idx="2">
                  <c:v>3.2519241747339964</c:v>
                </c:pt>
                <c:pt idx="3">
                  <c:v>3.7041790497622946</c:v>
                </c:pt>
                <c:pt idx="4">
                  <c:v>3.3622225630850631</c:v>
                </c:pt>
                <c:pt idx="5">
                  <c:v>3.6563816453526985</c:v>
                </c:pt>
                <c:pt idx="6">
                  <c:v>3.0463361812056258</c:v>
                </c:pt>
                <c:pt idx="7">
                  <c:v>3.9991892297517295</c:v>
                </c:pt>
                <c:pt idx="8">
                  <c:v>3.505848312019364</c:v>
                </c:pt>
                <c:pt idx="9">
                  <c:v>3.2972856537856541</c:v>
                </c:pt>
                <c:pt idx="10">
                  <c:v>3.2541336985435203</c:v>
                </c:pt>
                <c:pt idx="11">
                  <c:v>3.8104892297517297</c:v>
                </c:pt>
                <c:pt idx="12">
                  <c:v>3.6184194128292342</c:v>
                </c:pt>
                <c:pt idx="13">
                  <c:v>3.3998722463130551</c:v>
                </c:pt>
                <c:pt idx="14">
                  <c:v>2.870355942899693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8-9A49-96FA-9478ABBE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15039"/>
        <c:axId val="432310911"/>
      </c:areaChart>
      <c:catAx>
        <c:axId val="42721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10911"/>
        <c:crosses val="autoZero"/>
        <c:auto val="1"/>
        <c:lblAlgn val="ctr"/>
        <c:lblOffset val="100"/>
        <c:noMultiLvlLbl val="0"/>
      </c:catAx>
      <c:valAx>
        <c:axId val="432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[doordash.xlsx]best_time_to_dash!PivotTable18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cap="none" normalizeH="0" baseline="0">
                <a:effectLst/>
              </a:rPr>
              <a:t>Time-of-Day Performance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best_time_to_dash!$B$3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best_time_to_dash!$A$4:$A$7</c:f>
              <c:strCache>
                <c:ptCount val="3"/>
                <c:pt idx="0">
                  <c:v>Afternoon Slump</c:v>
                </c:pt>
                <c:pt idx="1">
                  <c:v>Dinner Rush</c:v>
                </c:pt>
                <c:pt idx="2">
                  <c:v>Lunch Peak</c:v>
                </c:pt>
              </c:strCache>
            </c:strRef>
          </c:cat>
          <c:val>
            <c:numRef>
              <c:f>best_time_to_dash!$B$4:$B$7</c:f>
              <c:numCache>
                <c:formatCode>General</c:formatCode>
                <c:ptCount val="3"/>
                <c:pt idx="0">
                  <c:v>33.771914519739518</c:v>
                </c:pt>
                <c:pt idx="1">
                  <c:v>35.035036107041108</c:v>
                </c:pt>
                <c:pt idx="2">
                  <c:v>28.349841186406188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9-AF41-8C8D-F5B9416DAC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214591"/>
        <c:axId val="432086463"/>
      </c:barChart>
      <c:catAx>
        <c:axId val="20121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6463"/>
        <c:auto val="1"/>
        <c:lblAlgn val="ctr"/>
        <c:lblOffset val="100"/>
        <c:noMultiLvlLbl val="0"/>
      </c:catAx>
      <c:valAx>
        <c:axId val="43208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4591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1872</xdr:colOff>
      <xdr:row>5</xdr:row>
      <xdr:rowOff>102094</xdr:rowOff>
    </xdr:from>
    <xdr:to>
      <xdr:col>19</xdr:col>
      <xdr:colOff>6197600</xdr:colOff>
      <xdr:row>14</xdr:row>
      <xdr:rowOff>158749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 2">
              <a:extLst>
                <a:ext uri="{FF2B5EF4-FFF2-40B4-BE49-F238E27FC236}">
                  <a16:creationId xmlns:a16="http://schemas.microsoft.com/office/drawing/2014/main" id="{8FDC4D15-E186-854D-9E89-38B0A982E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781" y="4373912"/>
              <a:ext cx="34597546" cy="1788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</xdr:col>
      <xdr:colOff>51837</xdr:colOff>
      <xdr:row>15</xdr:row>
      <xdr:rowOff>170969</xdr:rowOff>
    </xdr:from>
    <xdr:to>
      <xdr:col>10</xdr:col>
      <xdr:colOff>619995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E2E207-6285-1E42-BAEE-9C15FA5B6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856533</xdr:colOff>
      <xdr:row>16</xdr:row>
      <xdr:rowOff>11458</xdr:rowOff>
    </xdr:from>
    <xdr:to>
      <xdr:col>19</xdr:col>
      <xdr:colOff>6248400</xdr:colOff>
      <xdr:row>73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13148F-BA58-3B41-AF5C-36D10B29F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197556</xdr:colOff>
      <xdr:row>74</xdr:row>
      <xdr:rowOff>174270</xdr:rowOff>
    </xdr:from>
    <xdr:to>
      <xdr:col>19</xdr:col>
      <xdr:colOff>6330245</xdr:colOff>
      <xdr:row>104</xdr:row>
      <xdr:rowOff>151693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E13FEB-8F92-2A43-99D2-5D950644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1828800</xdr:colOff>
      <xdr:row>10</xdr:row>
      <xdr:rowOff>0</xdr:rowOff>
    </xdr:from>
    <xdr:to>
      <xdr:col>10</xdr:col>
      <xdr:colOff>254000</xdr:colOff>
      <xdr:row>22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68C89-C260-D57B-46C2-D75EF0B85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tuan0314/Downloads/Coffee-Sales-Dashboard-main/coffeeOrdersProjec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ấn Nguyễn" refreshedDate="45996.662546180552" createdVersion="8" refreshedVersion="8" minRefreshableVersion="3" recordCount="15" xr:uid="{D37E2507-40A6-AD4E-B672-18D461F087CE}">
  <cacheSource type="worksheet">
    <worksheetSource name="tblShift"/>
  </cacheSource>
  <cacheFields count="29">
    <cacheField name="date" numFmtId="14">
      <sharedItems containsSemiMixedTypes="0" containsNonDate="0" containsDate="1" containsString="0" minDate="2025-01-03T00:00:00" maxDate="2025-01-29T00:00:00" count="15">
        <d v="2025-01-03T00:00:00"/>
        <d v="2025-01-05T00:00:00"/>
        <d v="2025-01-07T00:00:00"/>
        <d v="2025-01-10T00:00:00"/>
        <d v="2025-01-11T00:00:00"/>
        <d v="2025-01-12T00:00:00"/>
        <d v="2025-01-15T00:00:00"/>
        <d v="2025-01-17T00:00:00"/>
        <d v="2025-01-18T00:00:00"/>
        <d v="2025-01-19T00:00:00"/>
        <d v="2025-01-22T00:00:00"/>
        <d v="2025-01-24T00:00:00"/>
        <d v="2025-01-25T00:00:00"/>
        <d v="2025-01-26T00:00:00"/>
        <d v="2025-01-28T00:00:00"/>
      </sharedItems>
    </cacheField>
    <cacheField name="start_time" numFmtId="168">
      <sharedItems containsSemiMixedTypes="0" containsNonDate="0" containsDate="1" containsString="0" minDate="1899-12-30T11:30:00" maxDate="1899-12-30T19:00:00" count="10">
        <d v="1899-12-30T17:00:00"/>
        <d v="1899-12-30T18:00:00"/>
        <d v="1899-12-30T12:00:00"/>
        <d v="1899-12-30T19:00:00"/>
        <d v="1899-12-30T17:30:00"/>
        <d v="1899-12-30T12:30:00"/>
        <d v="1899-12-30T18:30:00"/>
        <d v="1899-12-30T13:00:00"/>
        <d v="1899-12-30T16:30:00"/>
        <d v="1899-12-30T11:30:00"/>
      </sharedItems>
      <fieldGroup par="28"/>
    </cacheField>
    <cacheField name="end_time" numFmtId="168">
      <sharedItems containsSemiMixedTypes="0" containsNonDate="0" containsDate="1" containsString="0" minDate="1899-12-30T14:00:00" maxDate="1899-12-30T23:30:00"/>
    </cacheField>
    <cacheField name="total_time (hrs)" numFmtId="168">
      <sharedItems containsSemiMixedTypes="0" containsNonDate="0" containsDate="1" containsString="0" minDate="1899-12-30T02:30:00" maxDate="1899-12-30T05:00:00"/>
    </cacheField>
    <cacheField name="deliveries_completed" numFmtId="0">
      <sharedItems containsSemiMixedTypes="0" containsString="0" containsNumber="1" containsInteger="1" minValue="4" maxValue="11"/>
    </cacheField>
    <cacheField name="earnings" numFmtId="170">
      <sharedItems containsSemiMixedTypes="0" containsString="0" containsNumber="1" minValue="56.9" maxValue="168.6"/>
    </cacheField>
    <cacheField name="tips" numFmtId="170">
      <sharedItems containsSemiMixedTypes="0" containsString="0" containsNumber="1" minValue="8" maxValue="26"/>
    </cacheField>
    <cacheField name="odometer_start" numFmtId="0">
      <sharedItems containsSemiMixedTypes="0" containsString="0" containsNumber="1" containsInteger="1" minValue="42500" maxValue="43024"/>
    </cacheField>
    <cacheField name="odometer_end" numFmtId="0">
      <sharedItems containsSemiMixedTypes="0" containsString="0" containsNumber="1" containsInteger="1" minValue="42538" maxValue="43046"/>
    </cacheField>
    <cacheField name="business_km" numFmtId="0">
      <sharedItems containsSemiMixedTypes="0" containsString="0" containsNumber="1" containsInteger="1" minValue="22" maxValue="50"/>
    </cacheField>
    <cacheField name="total_income" numFmtId="170">
      <sharedItems containsSemiMixedTypes="0" containsString="0" containsNumber="1" minValue="64.900000000000006" maxValue="194.6"/>
    </cacheField>
    <cacheField name="insurance_expense" numFmtId="8">
      <sharedItems containsSemiMixedTypes="0" containsString="0" containsNumber="1" minValue="1.4308608058608062E-2" maxValue="2.8617216117216123E-2"/>
    </cacheField>
    <cacheField name="rego_expenses" numFmtId="8">
      <sharedItems containsSemiMixedTypes="0" containsString="0" containsNumber="1" minValue="1.0127314814814816E-2" maxValue="2.0254629629629633E-2"/>
    </cacheField>
    <cacheField name="service_expense" numFmtId="177">
      <sharedItems containsSemiMixedTypes="0" containsString="0" containsNumber="1" minValue="0" maxValue="0.12666666666666665"/>
    </cacheField>
    <cacheField name="fuel_expense" numFmtId="170">
      <sharedItems containsSemiMixedTypes="0" containsString="0" containsNumber="1" minValue="0" maxValue="3.9"/>
    </cacheField>
    <cacheField name="total_expense" numFmtId="170">
      <sharedItems containsSemiMixedTypes="0" containsString="0" containsNumber="1" minValue="3.9097476597476588E-2" maxValue="4.0755385124135124"/>
    </cacheField>
    <cacheField name="total_profit" numFmtId="170">
      <sharedItems containsSemiMixedTypes="0" containsString="0" containsNumber="1" minValue="63.14783074379325" maxValue="190.52446148758648"/>
    </cacheField>
    <cacheField name="profit_per_hour" numFmtId="170">
      <sharedItems containsSemiMixedTypes="0" containsString="0" containsNumber="1" minValue="25.259132297517297" maxValue="39.991892297517303"/>
    </cacheField>
    <cacheField name="profit_per_km" numFmtId="170">
      <sharedItems containsSemiMixedTypes="0" containsString="0" containsNumber="1" minValue="2.870355942899693" maxValue="3.9991892297517295"/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170">
      <sharedItems count="1">
        <s v="Jan"/>
      </sharedItems>
    </cacheField>
    <cacheField name="week_num" numFmtId="0">
      <sharedItems containsSemiMixedTypes="0" containsString="0" containsNumber="1" containsInteger="1" minValue="1" maxValue="5"/>
    </cacheField>
    <cacheField name="week_start" numFmtId="14">
      <sharedItems containsSemiMixedTypes="0" containsNonDate="0" containsDate="1" containsString="0" minDate="2024-12-30T00:00:00" maxDate="2025-01-28T00:00:00"/>
    </cacheField>
    <cacheField name="week_end" numFmtId="14">
      <sharedItems containsSemiMixedTypes="0" containsNonDate="0" containsDate="1" containsString="0" minDate="2025-01-05T00:00:00" maxDate="2025-02-03T00:00:00"/>
    </cacheField>
    <cacheField name="week_label" numFmtId="170">
      <sharedItems count="5">
        <s v="30 Dec - 05 Jan"/>
        <s v="06 Jan - 12 Jan"/>
        <s v="13 Jan - 19 Jan"/>
        <s v="20 Jan - 26 Jan"/>
        <s v="27 Jan - 02 Feb"/>
      </sharedItems>
    </cacheField>
    <cacheField name="day_of_week" numFmtId="0">
      <sharedItems count="5">
        <s v="Fri"/>
        <s v="Sun"/>
        <s v="Tue"/>
        <s v="Sat"/>
        <s v="Wed"/>
      </sharedItems>
    </cacheField>
    <cacheField name="day_period" numFmtId="0">
      <sharedItems count="3">
        <s v="Dinner Rush"/>
        <s v="Lunch Peak"/>
        <s v="Afternoon Slump"/>
      </sharedItems>
    </cacheField>
    <cacheField name="Minutes (start_time)" numFmtId="0" databaseField="0">
      <fieldGroup base="1">
        <rangePr groupBy="minutes" startDate="1899-12-30T11:30:00" endDate="1899-12-30T19:00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start_time)" numFmtId="0" databaseField="0">
      <fieldGroup base="1">
        <rangePr groupBy="hours" startDate="1899-12-30T11:30:00" endDate="1899-12-30T19:00:00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 pivotCacheId="205890468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Chen" refreshedDate="45109.440718287035" createdVersion="8" refreshedVersion="8" minRefreshableVersion="3" recordCount="1000" xr:uid="{E5F4A75D-1A96-1E44-B759-0D379C51BEF6}">
  <cacheSource type="worksheet">
    <worksheetSource name="Orders" r:id="rId2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9644986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d v="1899-12-30T21:00:00"/>
    <d v="1899-12-30T04:00:00"/>
    <n v="8"/>
    <n v="118.4"/>
    <n v="22"/>
    <n v="42500"/>
    <n v="42538"/>
    <n v="38"/>
    <n v="140.4"/>
    <n v="2.2893772893772892E-2"/>
    <n v="1.6203703703703699E-2"/>
    <n v="0"/>
    <n v="0"/>
    <n v="3.9097476597476588E-2"/>
    <n v="140.36090252340253"/>
    <n v="35.09022563085064"/>
    <n v="3.6937079611421719"/>
    <x v="0"/>
    <x v="0"/>
    <n v="1"/>
    <d v="2024-12-30T00:00:00"/>
    <d v="2025-01-05T00:00:00"/>
    <x v="0"/>
    <x v="0"/>
    <x v="0"/>
  </r>
  <r>
    <x v="1"/>
    <x v="1"/>
    <d v="1899-12-30T22:30:00"/>
    <d v="1899-12-30T04:30:00"/>
    <n v="9"/>
    <n v="134.5"/>
    <n v="18.5"/>
    <n v="42538"/>
    <n v="42580"/>
    <n v="42"/>
    <n v="153"/>
    <n v="2.5755494505494508E-2"/>
    <n v="1.8229166666666668E-2"/>
    <n v="0"/>
    <n v="3.1752000000000002"/>
    <n v="3.2191846611721613"/>
    <n v="149.78081533882784"/>
    <n v="33.284625630850627"/>
    <n v="3.5662098890197105"/>
    <x v="0"/>
    <x v="0"/>
    <n v="1"/>
    <d v="2024-12-30T00:00:00"/>
    <d v="2025-01-05T00:00:00"/>
    <x v="0"/>
    <x v="1"/>
    <x v="0"/>
  </r>
  <r>
    <x v="2"/>
    <x v="2"/>
    <d v="1899-12-30T15:00:00"/>
    <d v="1899-12-30T03:00:00"/>
    <n v="6"/>
    <n v="81.2"/>
    <n v="12"/>
    <n v="42580"/>
    <n v="42608"/>
    <n v="28"/>
    <n v="93.2"/>
    <n v="1.7170329670329672E-2"/>
    <n v="1.2152777777777778E-2"/>
    <n v="0"/>
    <n v="2.1168"/>
    <n v="2.1461231074481075"/>
    <n v="91.053876892551898"/>
    <n v="30.351292297517301"/>
    <n v="3.2519241747339964"/>
    <x v="0"/>
    <x v="0"/>
    <n v="2"/>
    <d v="2025-01-06T00:00:00"/>
    <d v="2025-01-12T00:00:00"/>
    <x v="1"/>
    <x v="2"/>
    <x v="1"/>
  </r>
  <r>
    <x v="3"/>
    <x v="3"/>
    <d v="1899-12-30T23:30:00"/>
    <d v="1899-12-30T04:30:00"/>
    <n v="10"/>
    <n v="152.75"/>
    <n v="25"/>
    <n v="42608"/>
    <n v="42655"/>
    <n v="47"/>
    <n v="177.75"/>
    <n v="2.5755494505494508E-2"/>
    <n v="1.8229166666666668E-2"/>
    <n v="0"/>
    <n v="3.6095999999999995"/>
    <n v="3.6535846611721605"/>
    <n v="174.09641533882785"/>
    <n v="38.688092297517301"/>
    <n v="3.7041790497622946"/>
    <x v="0"/>
    <x v="0"/>
    <n v="2"/>
    <d v="2025-01-06T00:00:00"/>
    <d v="2025-01-12T00:00:00"/>
    <x v="1"/>
    <x v="0"/>
    <x v="0"/>
  </r>
  <r>
    <x v="4"/>
    <x v="4"/>
    <d v="1899-12-30T21:00:00"/>
    <d v="1899-12-30T03:30:00"/>
    <n v="7"/>
    <n v="102.4"/>
    <n v="18"/>
    <n v="42655"/>
    <n v="42690"/>
    <n v="35"/>
    <n v="120.4"/>
    <n v="2.0032051282051287E-2"/>
    <n v="1.4178240740740745E-2"/>
    <n v="0"/>
    <n v="2.6879999999999997"/>
    <n v="2.7222102920227917"/>
    <n v="117.67778970797721"/>
    <n v="33.622225630850622"/>
    <n v="3.3622225630850631"/>
    <x v="0"/>
    <x v="0"/>
    <n v="2"/>
    <d v="2025-01-06T00:00:00"/>
    <d v="2025-01-12T00:00:00"/>
    <x v="1"/>
    <x v="3"/>
    <x v="0"/>
  </r>
  <r>
    <x v="5"/>
    <x v="1"/>
    <d v="1899-12-30T22:00:00"/>
    <d v="1899-12-30T04:00:00"/>
    <n v="8"/>
    <n v="121.9"/>
    <n v="20"/>
    <n v="42690"/>
    <n v="42728"/>
    <n v="38"/>
    <n v="141.9"/>
    <n v="2.2893772893772892E-2"/>
    <n v="1.6203703703703699E-2"/>
    <n v="0"/>
    <n v="2.9183999999999997"/>
    <n v="2.9574974765974762"/>
    <n v="138.94250252340254"/>
    <n v="34.735625630850642"/>
    <n v="3.6563816453526985"/>
    <x v="0"/>
    <x v="0"/>
    <n v="2"/>
    <d v="2025-01-06T00:00:00"/>
    <d v="2025-01-12T00:00:00"/>
    <x v="1"/>
    <x v="1"/>
    <x v="0"/>
  </r>
  <r>
    <x v="6"/>
    <x v="5"/>
    <d v="1899-12-30T15:30:00"/>
    <d v="1899-12-30T03:00:00"/>
    <n v="5"/>
    <n v="74.3"/>
    <n v="10"/>
    <n v="42728"/>
    <n v="42755"/>
    <n v="27"/>
    <n v="84.3"/>
    <n v="1.7170329670329672E-2"/>
    <n v="1.2152777777777778E-2"/>
    <n v="0"/>
    <n v="2.0196000000000001"/>
    <n v="2.0489231074481076"/>
    <n v="82.251076892551893"/>
    <n v="27.417025630850631"/>
    <n v="3.0463361812056258"/>
    <x v="0"/>
    <x v="0"/>
    <n v="3"/>
    <d v="2025-01-13T00:00:00"/>
    <d v="2025-01-19T00:00:00"/>
    <x v="2"/>
    <x v="4"/>
    <x v="1"/>
  </r>
  <r>
    <x v="7"/>
    <x v="6"/>
    <d v="1899-12-30T22:30:00"/>
    <d v="1899-12-30T04:00:00"/>
    <n v="9"/>
    <n v="140.1"/>
    <n v="23"/>
    <n v="42755"/>
    <n v="42795"/>
    <n v="40"/>
    <n v="163.1"/>
    <n v="2.2893772893772892E-2"/>
    <n v="1.6203703703703699E-2"/>
    <n v="0.10133333333333333"/>
    <n v="2.992"/>
    <n v="3.1324308099308098"/>
    <n v="159.96756919006918"/>
    <n v="39.991892297517303"/>
    <n v="3.9991892297517295"/>
    <x v="0"/>
    <x v="0"/>
    <n v="3"/>
    <d v="2025-01-13T00:00:00"/>
    <d v="2025-01-19T00:00:00"/>
    <x v="2"/>
    <x v="0"/>
    <x v="0"/>
  </r>
  <r>
    <x v="8"/>
    <x v="0"/>
    <d v="1899-12-30T21:00:00"/>
    <d v="1899-12-30T04:00:00"/>
    <n v="8"/>
    <n v="118.7"/>
    <n v="17.5"/>
    <n v="42795"/>
    <n v="42833"/>
    <n v="38"/>
    <n v="136.19999999999999"/>
    <n v="2.2893772893772892E-2"/>
    <n v="1.6203703703703699E-2"/>
    <n v="9.6266666666666667E-2"/>
    <n v="2.8424"/>
    <n v="2.9777641432641433"/>
    <n v="133.22223585673584"/>
    <n v="33.305558964183966"/>
    <n v="3.505848312019364"/>
    <x v="0"/>
    <x v="0"/>
    <n v="3"/>
    <d v="2025-01-13T00:00:00"/>
    <d v="2025-01-19T00:00:00"/>
    <x v="2"/>
    <x v="3"/>
    <x v="0"/>
  </r>
  <r>
    <x v="9"/>
    <x v="4"/>
    <d v="1899-12-30T21:30:00"/>
    <d v="1899-12-30T04:00:00"/>
    <n v="7"/>
    <n v="109.9"/>
    <n v="15"/>
    <n v="42833"/>
    <n v="42870"/>
    <n v="37"/>
    <n v="124.9"/>
    <n v="2.2893772893772906E-2"/>
    <n v="1.620370370370371E-2"/>
    <n v="9.3733333333333321E-2"/>
    <n v="2.7676000000000003"/>
    <n v="2.90043080993081"/>
    <n v="121.9995691900692"/>
    <n v="30.499892297517285"/>
    <n v="3.2972856537856541"/>
    <x v="0"/>
    <x v="0"/>
    <n v="3"/>
    <d v="2025-01-13T00:00:00"/>
    <d v="2025-01-19T00:00:00"/>
    <x v="2"/>
    <x v="1"/>
    <x v="0"/>
  </r>
  <r>
    <x v="10"/>
    <x v="7"/>
    <d v="1899-12-30T16:00:00"/>
    <d v="1899-12-30T03:00:00"/>
    <n v="6"/>
    <n v="82.4"/>
    <n v="11"/>
    <n v="42870"/>
    <n v="42898"/>
    <n v="28"/>
    <n v="93.4"/>
    <n v="1.7170329670329672E-2"/>
    <n v="1.2152777777777778E-2"/>
    <n v="7.0933333333333334E-2"/>
    <n v="2.1840000000000002"/>
    <n v="2.2842564407814407"/>
    <n v="91.115743559218572"/>
    <n v="30.371914519739523"/>
    <n v="3.2541336985435203"/>
    <x v="0"/>
    <x v="0"/>
    <n v="4"/>
    <d v="2025-01-20T00:00:00"/>
    <d v="2025-01-26T00:00:00"/>
    <x v="3"/>
    <x v="4"/>
    <x v="1"/>
  </r>
  <r>
    <x v="11"/>
    <x v="1"/>
    <d v="1899-12-30T23:00:00"/>
    <d v="1899-12-30T05:00:00"/>
    <n v="11"/>
    <n v="168.6"/>
    <n v="26"/>
    <n v="42898"/>
    <n v="42948"/>
    <n v="50"/>
    <n v="194.6"/>
    <n v="2.8617216117216123E-2"/>
    <n v="2.0254629629629633E-2"/>
    <n v="0.12666666666666665"/>
    <n v="3.9"/>
    <n v="4.0755385124135124"/>
    <n v="190.52446148758648"/>
    <n v="38.104892297517289"/>
    <n v="3.8104892297517297"/>
    <x v="0"/>
    <x v="0"/>
    <n v="4"/>
    <d v="2025-01-20T00:00:00"/>
    <d v="2025-01-26T00:00:00"/>
    <x v="3"/>
    <x v="0"/>
    <x v="0"/>
  </r>
  <r>
    <x v="12"/>
    <x v="8"/>
    <d v="1899-12-30T21:00:00"/>
    <d v="1899-12-30T04:30:00"/>
    <n v="9"/>
    <n v="136.4"/>
    <n v="19"/>
    <n v="42948"/>
    <n v="42990"/>
    <n v="42"/>
    <n v="155.4"/>
    <n v="2.5755494505494508E-2"/>
    <n v="1.8229166666666668E-2"/>
    <n v="0.10639999999999999"/>
    <n v="3.2759999999999998"/>
    <n v="3.4263846611721611"/>
    <n v="151.97361533882784"/>
    <n v="33.771914519739518"/>
    <n v="3.6184194128292342"/>
    <x v="0"/>
    <x v="0"/>
    <n v="4"/>
    <d v="2025-01-20T00:00:00"/>
    <d v="2025-01-26T00:00:00"/>
    <x v="3"/>
    <x v="3"/>
    <x v="2"/>
  </r>
  <r>
    <x v="13"/>
    <x v="1"/>
    <d v="1899-12-30T21:30:00"/>
    <d v="1899-12-30T03:30:00"/>
    <n v="7"/>
    <n v="104.3"/>
    <n v="14"/>
    <n v="42990"/>
    <n v="43024"/>
    <n v="34"/>
    <n v="118.3"/>
    <n v="2.0032051282051287E-2"/>
    <n v="1.4178240740740745E-2"/>
    <n v="8.6133333333333326E-2"/>
    <n v="2.5840000000000001"/>
    <n v="2.7043436253561253"/>
    <n v="115.59565637464387"/>
    <n v="33.027330392755381"/>
    <n v="3.3998722463130551"/>
    <x v="0"/>
    <x v="0"/>
    <n v="4"/>
    <d v="2025-01-20T00:00:00"/>
    <d v="2025-01-26T00:00:00"/>
    <x v="3"/>
    <x v="1"/>
    <x v="0"/>
  </r>
  <r>
    <x v="14"/>
    <x v="9"/>
    <d v="1899-12-30T14:00:00"/>
    <d v="1899-12-30T02:30:00"/>
    <n v="4"/>
    <n v="56.9"/>
    <n v="8"/>
    <n v="43024"/>
    <n v="43046"/>
    <n v="22"/>
    <n v="64.900000000000006"/>
    <n v="1.4308608058608062E-2"/>
    <n v="1.0127314814814816E-2"/>
    <n v="5.5733333333333329E-2"/>
    <n v="1.6719999999999999"/>
    <n v="1.7521692562067561"/>
    <n v="63.14783074379325"/>
    <n v="25.259132297517297"/>
    <n v="2.870355942899693"/>
    <x v="0"/>
    <x v="0"/>
    <n v="5"/>
    <d v="2025-01-27T00:00:00"/>
    <d v="2025-02-02T00:00:00"/>
    <x v="4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EFCE-F7F6-D54D-A079-D57A61A39030}" name="PivotTable8" cacheId="1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3:B21" firstHeaderRow="1" firstDataRow="1" firstDataCol="1"/>
  <pivotFields count="29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8" showAll="0">
      <items count="11">
        <item x="9"/>
        <item x="2"/>
        <item x="5"/>
        <item x="7"/>
        <item x="8"/>
        <item x="0"/>
        <item x="4"/>
        <item x="1"/>
        <item x="6"/>
        <item x="3"/>
        <item t="default"/>
      </items>
    </pivotField>
    <pivotField numFmtId="168" showAll="0"/>
    <pivotField showAll="0"/>
    <pivotField showAll="0"/>
    <pivotField numFmtId="170" showAll="0"/>
    <pivotField numFmtId="170" showAll="0"/>
    <pivotField showAll="0"/>
    <pivotField showAll="0"/>
    <pivotField showAll="0"/>
    <pivotField numFmtId="170" showAll="0"/>
    <pivotField numFmtId="8" showAll="0"/>
    <pivotField numFmtId="8" showAll="0"/>
    <pivotField numFmtId="177" showAll="0"/>
    <pivotField numFmtId="170" showAll="0"/>
    <pivotField numFmtId="170" showAll="0"/>
    <pivotField dataField="1" numFmtId="170" showAll="0"/>
    <pivotField numFmtId="170" showAll="0"/>
    <pivotField numFmtId="170" showAll="0"/>
    <pivotField axis="axisRow" showAll="0" sortType="ascending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9"/>
    <field x="20"/>
    <field x="0"/>
  </rowFields>
  <rowItems count="1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t="grand">
      <x/>
    </i>
  </rowItems>
  <colItems count="1">
    <i/>
  </colItems>
  <dataFields count="1">
    <dataField name="Profit ($) " fld="16" baseField="0" baseItem="0"/>
  </dataFields>
  <chartFormats count="1"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7" name="date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E810E-8F11-9E4D-A0F7-9ACDF9405730}" name="PivotTable15" cacheId="1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11" firstHeaderRow="1" firstDataRow="1" firstDataCol="1"/>
  <pivotFields count="29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8" showAll="0">
      <items count="11">
        <item x="9"/>
        <item x="2"/>
        <item x="5"/>
        <item x="7"/>
        <item x="8"/>
        <item x="0"/>
        <item x="4"/>
        <item x="1"/>
        <item x="6"/>
        <item x="3"/>
        <item t="default"/>
      </items>
    </pivotField>
    <pivotField numFmtId="168" showAll="0"/>
    <pivotField numFmtId="168" showAll="0"/>
    <pivotField showAll="0"/>
    <pivotField numFmtId="170" showAll="0"/>
    <pivotField numFmtId="170" showAll="0"/>
    <pivotField showAll="0"/>
    <pivotField showAll="0"/>
    <pivotField showAll="0"/>
    <pivotField numFmtId="170" showAll="0"/>
    <pivotField numFmtId="8" showAll="0"/>
    <pivotField numFmtId="8" showAll="0"/>
    <pivotField numFmtId="177" showAll="0"/>
    <pivotField numFmtId="170" showAll="0"/>
    <pivotField numFmtId="170" showAll="0"/>
    <pivotField numFmtId="170" showAll="0"/>
    <pivotField dataField="1" numFmtId="170" showAll="0"/>
    <pivotField numFmtId="170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numFmtId="14" showAll="0"/>
    <pivotField numFmtId="14"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9"/>
    <field x="20"/>
    <field x="24"/>
  </rowFields>
  <rowItems count="8">
    <i>
      <x/>
    </i>
    <i r="1">
      <x/>
    </i>
    <i r="2">
      <x/>
    </i>
    <i r="2">
      <x v="1"/>
    </i>
    <i r="2">
      <x v="2"/>
    </i>
    <i r="2">
      <x v="3"/>
    </i>
    <i r="2">
      <x v="4"/>
    </i>
    <i t="grand">
      <x/>
    </i>
  </rowItems>
  <colItems count="1">
    <i/>
  </colItems>
  <dataFields count="1">
    <dataField name="Average of profit_per_hour" fld="17" subtotal="average" baseField="0" baseItem="0"/>
  </dataFields>
  <pivotTableStyleInfo name="PivotStyleLight16" showRowHeaders="1" showColHeaders="1" showRowStripes="0" showColStripes="0" showLastColumn="1"/>
  <filters count="1">
    <filter fld="0" type="dateBetween" evalOrder="-1" id="81" name="date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BB2E7-170E-0B46-BE49-039BFE5FE3F5}" name="PivotTable16" cacheId="1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3:B21" firstHeaderRow="1" firstDataRow="1" firstDataCol="1"/>
  <pivotFields count="29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8" showAll="0">
      <items count="11">
        <item x="9"/>
        <item x="2"/>
        <item x="5"/>
        <item x="7"/>
        <item x="8"/>
        <item x="0"/>
        <item x="4"/>
        <item x="1"/>
        <item x="6"/>
        <item x="3"/>
        <item t="default"/>
      </items>
    </pivotField>
    <pivotField numFmtId="168" showAll="0"/>
    <pivotField numFmtId="168" showAll="0"/>
    <pivotField showAll="0"/>
    <pivotField numFmtId="170" showAll="0"/>
    <pivotField numFmtId="170" showAll="0"/>
    <pivotField showAll="0"/>
    <pivotField showAll="0"/>
    <pivotField showAll="0"/>
    <pivotField numFmtId="170" showAll="0"/>
    <pivotField numFmtId="8" showAll="0"/>
    <pivotField numFmtId="8" showAll="0"/>
    <pivotField numFmtId="177" showAll="0"/>
    <pivotField numFmtId="170" showAll="0"/>
    <pivotField numFmtId="170" showAll="0"/>
    <pivotField numFmtId="170" showAll="0"/>
    <pivotField numFmtId="170" showAll="0"/>
    <pivotField dataField="1" numFmtId="170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9"/>
    <field x="20"/>
    <field x="0"/>
  </rowFields>
  <rowItems count="1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t="grand">
      <x/>
    </i>
  </rowItems>
  <colItems count="1">
    <i/>
  </colItems>
  <dataFields count="1">
    <dataField name="Average of profit_per_km" fld="18" subtotal="average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79" name="date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220BE-9CD9-9442-BDAA-1C030445A0E8}" name="PivotTable13" cacheId="11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3:C15" firstHeaderRow="0" firstDataRow="1" firstDataCol="1"/>
  <pivotFields count="29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8" showAll="0" defaultSubtotal="0">
      <items count="10">
        <item x="9"/>
        <item x="2"/>
        <item x="5"/>
        <item x="7"/>
        <item x="8"/>
        <item x="0"/>
        <item x="4"/>
        <item x="1"/>
        <item x="6"/>
        <item x="3"/>
      </items>
    </pivotField>
    <pivotField numFmtId="168" showAll="0"/>
    <pivotField numFmtId="168" showAll="0"/>
    <pivotField dataField="1" showAll="0"/>
    <pivotField numFmtId="170" showAll="0"/>
    <pivotField numFmtId="170" showAll="0"/>
    <pivotField showAll="0"/>
    <pivotField showAll="0"/>
    <pivotField showAll="0"/>
    <pivotField numFmtId="170" showAll="0"/>
    <pivotField numFmtId="8" showAll="0"/>
    <pivotField numFmtId="8" showAll="0"/>
    <pivotField numFmtId="177" showAll="0"/>
    <pivotField numFmtId="170" showAll="0"/>
    <pivotField numFmtId="170" showAll="0"/>
    <pivotField numFmtId="170" showAll="0"/>
    <pivotField dataField="1" numFmtId="170" showAll="0"/>
    <pivotField numFmtId="170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5"/>
    <field x="26"/>
  </rowFields>
  <rowItems count="12">
    <i>
      <x/>
    </i>
    <i r="1">
      <x v="1"/>
    </i>
    <i>
      <x v="1"/>
    </i>
    <i r="1">
      <x v="2"/>
    </i>
    <i>
      <x v="2"/>
    </i>
    <i r="1">
      <x v="2"/>
    </i>
    <i>
      <x v="3"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 Per Hour" fld="17" subtotal="average" baseField="0" baseItem="0"/>
    <dataField name="Completed  Deliveries" fld="4" subtotal="average" baseField="0" baseItem="0"/>
  </dataFields>
  <formats count="3">
    <format dxfId="32">
      <pivotArea field="25" type="button" dataOnly="0" labelOnly="1" outline="0" axis="axisRow" fieldPosition="0"/>
    </format>
    <format dxfId="31">
      <pivotArea dataOnly="0" labelOnly="1" fieldPosition="0">
        <references count="1">
          <reference field="25" count="0"/>
        </references>
      </pivotArea>
    </format>
    <format dxfId="30">
      <pivotArea dataOnly="0" labelOnly="1" grandRow="1" outline="0" fieldPosition="0"/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1" name="date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71881-40B5-3444-9998-7AA62F29A81B}" name="PivotTable18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9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8" showAll="0">
      <items count="11">
        <item x="9"/>
        <item x="2"/>
        <item x="5"/>
        <item x="7"/>
        <item x="8"/>
        <item x="0"/>
        <item x="4"/>
        <item x="1"/>
        <item x="6"/>
        <item x="3"/>
        <item t="default"/>
      </items>
    </pivotField>
    <pivotField numFmtId="168" showAll="0"/>
    <pivotField numFmtId="168" showAll="0"/>
    <pivotField showAll="0"/>
    <pivotField numFmtId="170" showAll="0"/>
    <pivotField numFmtId="170" showAll="0"/>
    <pivotField showAll="0"/>
    <pivotField showAll="0"/>
    <pivotField showAll="0"/>
    <pivotField numFmtId="170" showAll="0"/>
    <pivotField numFmtId="8" showAll="0"/>
    <pivotField numFmtId="8" showAll="0"/>
    <pivotField numFmtId="177" showAll="0"/>
    <pivotField numFmtId="170" showAll="0"/>
    <pivotField numFmtId="170" showAll="0"/>
    <pivotField numFmtId="170" showAll="0"/>
    <pivotField dataField="1" numFmtId="170" showAll="0"/>
    <pivotField numFmtId="170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 Per Hour" fld="17" subtotal="average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D1AE9-7FC4-DA43-9A2C-2CC18664220E}" name="tblShift" displayName="tblShift" ref="A1:AA16" totalsRowShown="0" headerRowDxfId="76" dataDxfId="77">
  <autoFilter ref="A1:AA16" xr:uid="{5F5D1AE9-7FC4-DA43-9A2C-2CC18664220E}"/>
  <tableColumns count="27">
    <tableColumn id="1" xr3:uid="{127BC94C-FB15-2145-8430-82E10EB831AB}" name="date" dataDxfId="85"/>
    <tableColumn id="2" xr3:uid="{20D7C155-DD86-5E4E-BDB9-7BC0EB6B498E}" name="start_time" dataDxfId="84"/>
    <tableColumn id="3" xr3:uid="{B216852B-8C8A-354D-875A-C4A80E3D9724}" name="end_time" dataDxfId="83"/>
    <tableColumn id="4" xr3:uid="{5809B545-B3ED-9842-922F-9CFA1E02F11D}" name="total_time (hrs)" dataDxfId="36">
      <calculatedColumnFormula>tblShift[[#This Row],[end_time]]-tblShift[[#This Row],[start_time]]</calculatedColumnFormula>
    </tableColumn>
    <tableColumn id="5" xr3:uid="{D533DEBD-5E8B-594F-97F4-167302F52EF8}" name="deliveries_completed" dataDxfId="82"/>
    <tableColumn id="6" xr3:uid="{80D4AA23-DED5-B44E-A6D9-46AAFAE2356C}" name="earnings" dataDxfId="81"/>
    <tableColumn id="7" xr3:uid="{1F5E464D-CAC3-4342-8FA5-358232A17C5B}" name="tips" dataDxfId="80"/>
    <tableColumn id="8" xr3:uid="{EAB454FF-3FB7-0748-8039-ABFD0936E810}" name="odometer_start" dataDxfId="79"/>
    <tableColumn id="9" xr3:uid="{A0DE33B5-094B-084E-8CD3-D60903BFE137}" name="odometer_end" dataDxfId="78"/>
    <tableColumn id="10" xr3:uid="{201E7BEC-7961-4F47-BE8B-F7BC5BDE1988}" name="business_km" dataDxfId="75">
      <calculatedColumnFormula>tblShift[[#This Row],[odometer_end]]-tblShift[[#This Row],[odometer_start]]</calculatedColumnFormula>
    </tableColumn>
    <tableColumn id="11" xr3:uid="{13BD50FC-D4AE-5347-9A40-440FAC556C79}" name="total_income" dataDxfId="63">
      <calculatedColumnFormula>tblShift[[#This Row],[earnings]]+tblShift[[#This Row],[tips]]</calculatedColumnFormula>
    </tableColumn>
    <tableColumn id="12" xr3:uid="{E2DB39D4-E7F4-D34C-9EF1-CCF17564C5F8}" name="insurance_expense" dataDxfId="52">
      <calculatedColumnFormula array="1">tblShift[[#This Row],[total_time (hrs)]] *
 SUMPRODUCT(
   (tblExpense[cost_type]="Insurance") *
   (tblShift[[#This Row],[date]]&gt;=tblExpense[period_start]) *
   (tblShift[[#This Row],[date]]&lt;=tblExpense[period_end]) *
   tblExpense[cost_per_hour]
 )</calculatedColumnFormula>
    </tableColumn>
    <tableColumn id="13" xr3:uid="{E092D952-5395-2244-B989-33284D18CE96}" name="rego_expenses" dataDxfId="51">
      <calculatedColumnFormula array="1">tblShift[[#This Row],[total_time (hrs)]] *
 SUMPRODUCT(
   (tblExpense[cost_type]="Rego") *
   (tblShift[[#This Row],[date]]&gt;=tblExpense[period_start]) *
   (tblShift[[#This Row],[date]]&lt;=tblExpense[period_end]) *
   tblExpense[cost_per_hour]
 )</calculatedColumnFormula>
    </tableColumn>
    <tableColumn id="14" xr3:uid="{78DF5F95-C7B7-2441-B061-BC44F0631C8B}" name="service_expense" dataDxfId="46">
      <calculatedColumnFormula>IFERROR(
    tblShift[[#This Row],[business_km]] *
    _xlfn.XLOOKUP(
        tblShift[[#This Row],[date]],
        tblService[invoice_date],
        tblService[cost_per_km],
        0,
        -1
    ),
0)</calculatedColumnFormula>
    </tableColumn>
    <tableColumn id="15" xr3:uid="{28A9829E-FAD9-5E47-89D9-2463F5C3855C}" name="fuel_expense" dataDxfId="45" dataCellStyle="Currency">
      <calculatedColumnFormula>IFERROR(
    tblShift[[#This Row],[business_km]] *
    _xlfn.XLOOKUP(
        tblShift[[#This Row],[date]],
        tblFuel[date],
        tblFuel[cost_per_km],
        0,
        -1
    ),
0)</calculatedColumnFormula>
    </tableColumn>
    <tableColumn id="16" xr3:uid="{3BC993C6-BD3B-0A4A-96E2-2B62DB54DF5D}" name="total_expense" dataDxfId="44">
      <calculatedColumnFormula>tblShift[[#This Row],[insurance_expense]]+tblShift[[#This Row],[rego_expenses]]+tblShift[[#This Row],[service_expense]]+tblShift[[#This Row],[fuel_expense]]</calculatedColumnFormula>
    </tableColumn>
    <tableColumn id="17" xr3:uid="{45AA3F5E-2E1C-3342-B412-CF433A2B649A}" name="total_profit" dataDxfId="43">
      <calculatedColumnFormula>tblShift[[#This Row],[total_income]]-tblShift[[#This Row],[total_expense]]</calculatedColumnFormula>
    </tableColumn>
    <tableColumn id="18" xr3:uid="{4F54773F-EFCE-C64B-BD74-73D79000F00D}" name="profit_per_hour" dataDxfId="33">
      <calculatedColumnFormula>tblShift[[#This Row],[total_profit]]/(tblShift[[#This Row],[total_time (hrs)]]*24)</calculatedColumnFormula>
    </tableColumn>
    <tableColumn id="19" xr3:uid="{3FB250E2-E117-8044-ABE2-D030BB8565ED}" name="profit_per_km" dataDxfId="42">
      <calculatedColumnFormula>tblShift[[#This Row],[total_profit]]/tblShift[[#This Row],[business_km]]</calculatedColumnFormula>
    </tableColumn>
    <tableColumn id="20" xr3:uid="{F74C8FEC-D202-194B-A840-DF588CB8D33B}" name="year" dataDxfId="41">
      <calculatedColumnFormula>YEAR(tblShift[[#This Row],[date]])</calculatedColumnFormula>
    </tableColumn>
    <tableColumn id="21" xr3:uid="{0238DD3A-98CF-764A-9C14-4E72B7C576A1}" name="month" dataDxfId="40">
      <calculatedColumnFormula>TEXT(tblShift[[#This Row],[date]],"MMM")</calculatedColumnFormula>
    </tableColumn>
    <tableColumn id="22" xr3:uid="{A545DCD4-871C-A347-A565-1ECFB4BC1755}" name="week_num" dataDxfId="39">
      <calculatedColumnFormula>WEEKNUM(tblShift[[#This Row],[date]],2)</calculatedColumnFormula>
    </tableColumn>
    <tableColumn id="23" xr3:uid="{95D3AECC-8150-B147-A090-90FD9EAEC1B5}" name="week_start" dataDxfId="38">
      <calculatedColumnFormula>tblShift[[#This Row],[date]] - WEEKDAY(tblShift[[#This Row],[date]],2) + 1</calculatedColumnFormula>
    </tableColumn>
    <tableColumn id="24" xr3:uid="{96C78125-3463-B345-9AA0-4EE12D770D11}" name="week_end" dataDxfId="37">
      <calculatedColumnFormula>tblShift[[#This Row],[week_start]]+6</calculatedColumnFormula>
    </tableColumn>
    <tableColumn id="25" xr3:uid="{B7332BBC-1E22-0042-88B2-967F1E8B18A6}" name="week_label" dataDxfId="35">
      <calculatedColumnFormula>TEXT(tblShift[[#This Row],[week_start]],"dd MMM") &amp; " - " &amp; TEXT(tblShift[[#This Row],[week_end]],"dd MMM")</calculatedColumnFormula>
    </tableColumn>
    <tableColumn id="26" xr3:uid="{3F5E5AFA-BB87-3A49-9C10-C63BE5E3959E}" name="day_of_week" dataDxfId="34">
      <calculatedColumnFormula>TEXT(tblShift[[#This Row],[date]],"ddd")</calculatedColumnFormula>
    </tableColumn>
    <tableColumn id="27" xr3:uid="{9746FAAD-C364-7341-9EEC-CE682E26CE4B}" name="day_period" dataDxfId="27">
      <calculatedColumnFormula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C661E1-8B89-3C4A-9D00-2B9EA2AC6656}" name="tblExpense" displayName="tblExpense" ref="A1:G3" totalsRowShown="0" headerRowDxfId="69" dataDxfId="70">
  <autoFilter ref="A1:G3" xr:uid="{76C661E1-8B89-3C4A-9D00-2B9EA2AC6656}"/>
  <tableColumns count="7">
    <tableColumn id="1" xr3:uid="{056E0106-5ABF-DC46-B356-6C3ED6CED4E5}" name="cost_type" dataDxfId="74"/>
    <tableColumn id="2" xr3:uid="{CF05F5E6-67CD-4743-AB6F-518A8D7D3722}" name="invoice_date" dataDxfId="73"/>
    <tableColumn id="3" xr3:uid="{8DAC4580-AA85-124D-BDAE-6362827B2305}" name="period_start" dataDxfId="72"/>
    <tableColumn id="4" xr3:uid="{7A02E676-F457-6048-932D-172A02559197}" name="period_end" dataDxfId="71"/>
    <tableColumn id="5" xr3:uid="{FF62B837-78ED-BE46-A2C7-20543F61D552}" name="total_cost" dataDxfId="62"/>
    <tableColumn id="6" xr3:uid="{A7367FD6-0B68-9545-85B8-1B557294AF87}" name="total_hour" dataDxfId="61">
      <calculatedColumnFormula>(tblExpense[[#This Row],[period_end]]-tblExpense[[#This Row],[period_start]])*24</calculatedColumnFormula>
    </tableColumn>
    <tableColumn id="7" xr3:uid="{21E5C9F7-9DD1-DF46-8358-D97523BF37FC}" name="cost_per_hour" dataDxfId="60">
      <calculatedColumnFormula>tblExpense[[#This Row],[total_cost]]/tblExpense[[#This Row],[total_hour]]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CB8964-C171-8C43-9CAD-508AFD095506}" name="tblService" displayName="tblService" ref="A1:D3" totalsRowShown="0" dataDxfId="55" headerRowBorderDxfId="58" tableBorderDxfId="59">
  <autoFilter ref="A1:D3" xr:uid="{40CB8964-C171-8C43-9CAD-508AFD095506}"/>
  <tableColumns count="4">
    <tableColumn id="1" xr3:uid="{D367AEBF-F6D0-2A4E-80FA-906212348641}" name="invoice_date" dataDxfId="57"/>
    <tableColumn id="2" xr3:uid="{71D1BA6D-ADF1-E745-975E-E22813D49E3D}" name="total_cost" dataDxfId="56"/>
    <tableColumn id="3" xr3:uid="{D41E44DC-B12B-8541-8AD1-DDE4A06FCC38}" name="km_covered" dataDxfId="54"/>
    <tableColumn id="4" xr3:uid="{129CE806-FF5D-6942-9549-A64F77E38E6D}" name="cost_per_km" dataDxfId="53">
      <calculatedColumnFormula>tblService[[#This Row],[total_cost]]/tblService[[#This Row],[km_covered]]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9A697E-B2AA-FB4A-8C63-DBFC0C60B788}" name="tblFuel" displayName="tblFuel" ref="A1:G6" totalsRowShown="0" headerRowDxfId="50" dataDxfId="49">
  <autoFilter ref="A1:G6" xr:uid="{649A697E-B2AA-FB4A-8C63-DBFC0C60B788}"/>
  <tableColumns count="7">
    <tableColumn id="1" xr3:uid="{7B96598A-4319-B24D-A0C5-2229828463A2}" name="date" dataDxfId="68"/>
    <tableColumn id="2" xr3:uid="{23504F96-B7FF-EC44-B3D1-04D3F17BC188}" name="odometer" dataDxfId="67"/>
    <tableColumn id="3" xr3:uid="{059BF972-DBF5-B34C-AB7B-CB9A96259AC7}" name="litres" dataDxfId="66"/>
    <tableColumn id="4" xr3:uid="{CFFFB692-ACB4-834F-A4D3-A1158292D084}" name="price_per_litres" dataDxfId="65"/>
    <tableColumn id="5" xr3:uid="{338D880F-ECFE-E549-854B-354D4C1DBE62}" name="total_cost" dataDxfId="64"/>
    <tableColumn id="6" xr3:uid="{603A5E43-EC7A-534D-8AF6-84EF05DEF076}" name="fuel_litres_per_100km" dataDxfId="48"/>
    <tableColumn id="7" xr3:uid="{18157E12-2FB0-E34F-8BA1-AFD9839EEE87}" name="cost_per_km" dataDxfId="47">
      <calculatedColumnFormula>(tblFuel[[#This Row],[price_per_litres]]*tblFuel[[#This Row],[fuel_litres_per_100km]])/100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E9615285-C8A3-B24D-BB7C-B206C8FAB3BC}" sourceName="date">
  <pivotTables>
    <pivotTable tabId="6" name="PivotTable8"/>
    <pivotTable tabId="13" name="PivotTable13"/>
    <pivotTable tabId="17" name="PivotTable15"/>
    <pivotTable tabId="18" name="PivotTable16"/>
  </pivotTables>
  <state minimalRefreshVersion="6" lastRefreshVersion="6" pivotCacheId="2058904687" filterType="dateBetween">
    <selection startDate="2025-01-01T00:00:00" endDate="2025-12-31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3981176E-268D-4A4D-8E26-3B6748FAB6F8}" sourceName="Order Date">
  <state minimalRefreshVersion="6" lastRefreshVersion="6" pivotCacheId="964498676" filterType="dateBetween">
    <selection startDate="2019-01-01T00:00:00" endDate="2020-09-30T00:00:00"/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CE21643F-DC8C-7D46-8876-0951D6F9346A}" cache="NativeTimeline_date" caption="DATE" level="0" selectionLevel="0" scrollPosition="2025-01-01T00:00:00" style="TimeSlicerStyleLight3"/>
  <timeline name="Order Date 1" xr10:uid="{6AE8B97F-91CC-7D4C-9DC9-A1694554D729}" cache="NativeTimeline_Order_Date" caption="Order Date" level="2" selectionLevel="1" scrollPosition="2019-01-01T00:00:00" style="Purple Timeline Style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4CDE-51D8-0C42-B13A-E258A5329EF6}">
  <dimension ref="A1:T7"/>
  <sheetViews>
    <sheetView tabSelected="1" zoomScale="33" zoomScaleNormal="38" workbookViewId="0">
      <selection sqref="A1:T1"/>
    </sheetView>
  </sheetViews>
  <sheetFormatPr baseColWidth="10" defaultRowHeight="16"/>
  <cols>
    <col min="1" max="1" width="3.1640625" style="36" customWidth="1"/>
    <col min="2" max="19" width="20.83203125" style="36" customWidth="1"/>
    <col min="20" max="20" width="83.5" style="36" customWidth="1"/>
    <col min="21" max="16384" width="10.83203125" style="36"/>
  </cols>
  <sheetData>
    <row r="1" spans="1:20" s="42" customFormat="1" ht="168" customHeight="1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9">
      <c r="F2" s="37"/>
    </row>
    <row r="3" spans="1:20" ht="59" customHeight="1">
      <c r="B3" s="38"/>
      <c r="C3" s="33" t="s">
        <v>56</v>
      </c>
      <c r="D3" s="33"/>
      <c r="E3" s="33"/>
      <c r="F3" s="39"/>
      <c r="I3" s="33" t="s">
        <v>57</v>
      </c>
      <c r="J3" s="33"/>
      <c r="K3" s="33"/>
      <c r="L3" s="33"/>
      <c r="M3" s="33"/>
      <c r="P3" s="33" t="s">
        <v>58</v>
      </c>
      <c r="Q3" s="33"/>
      <c r="R3" s="33"/>
      <c r="S3" s="33"/>
      <c r="T3" s="33"/>
    </row>
    <row r="4" spans="1:20" ht="70" customHeight="1">
      <c r="B4" s="40"/>
      <c r="C4" s="35">
        <f>GETPIVOTDATA("total_profit",report!$A$3)</f>
        <v>1921.7100609584859</v>
      </c>
      <c r="D4" s="35"/>
      <c r="E4" s="35"/>
      <c r="F4" s="41"/>
      <c r="I4" s="35">
        <f>GETPIVOTDATA("profit_per_hour",profit_per_hour!$A$3)</f>
        <v>33.168109355718357</v>
      </c>
      <c r="J4" s="35"/>
      <c r="K4" s="35"/>
      <c r="L4" s="35"/>
      <c r="M4" s="35"/>
      <c r="P4" s="35">
        <f>GETPIVOTDATA("profit_per_km",profit_per_km!$A$3)</f>
        <v>3.469103679346369</v>
      </c>
      <c r="Q4" s="35"/>
      <c r="R4" s="35"/>
      <c r="S4" s="35"/>
      <c r="T4" s="35"/>
    </row>
    <row r="5" spans="1:20" ht="24" customHeight="1"/>
    <row r="7" spans="1:20">
      <c r="R7" s="36" t="s">
        <v>59</v>
      </c>
    </row>
  </sheetData>
  <mergeCells count="7">
    <mergeCell ref="I4:M4"/>
    <mergeCell ref="P3:T3"/>
    <mergeCell ref="P4:T4"/>
    <mergeCell ref="A1:T1"/>
    <mergeCell ref="C3:E3"/>
    <mergeCell ref="C4:E4"/>
    <mergeCell ref="I3:M3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F133-CE74-AC45-A681-B065C2D6F0FC}">
  <dimension ref="A1:D26"/>
  <sheetViews>
    <sheetView zoomScale="115" workbookViewId="0">
      <selection activeCell="B21" sqref="B21"/>
    </sheetView>
  </sheetViews>
  <sheetFormatPr baseColWidth="10" defaultRowHeight="16"/>
  <cols>
    <col min="1" max="1" width="13" bestFit="1" customWidth="1"/>
    <col min="2" max="2" width="12.1640625" style="22" bestFit="1" customWidth="1"/>
    <col min="3" max="3" width="18.1640625" style="22" bestFit="1" customWidth="1"/>
    <col min="4" max="4" width="12.1640625" style="22" bestFit="1" customWidth="1"/>
    <col min="5" max="17" width="12.1640625" bestFit="1" customWidth="1"/>
  </cols>
  <sheetData>
    <row r="1" spans="1:4">
      <c r="B1"/>
    </row>
    <row r="3" spans="1:4">
      <c r="A3" s="28" t="s">
        <v>46</v>
      </c>
      <c r="B3" t="s">
        <v>62</v>
      </c>
      <c r="C3"/>
      <c r="D3"/>
    </row>
    <row r="4" spans="1:4">
      <c r="A4" s="29">
        <v>2025</v>
      </c>
      <c r="B4" s="11">
        <v>1921.7100609584859</v>
      </c>
      <c r="C4"/>
      <c r="D4"/>
    </row>
    <row r="5" spans="1:4">
      <c r="A5" s="30" t="s">
        <v>48</v>
      </c>
      <c r="B5" s="11">
        <v>1921.7100609584859</v>
      </c>
      <c r="C5"/>
      <c r="D5"/>
    </row>
    <row r="6" spans="1:4">
      <c r="A6" s="32">
        <v>45660</v>
      </c>
      <c r="B6" s="11">
        <v>140.36090252340253</v>
      </c>
      <c r="C6"/>
      <c r="D6"/>
    </row>
    <row r="7" spans="1:4">
      <c r="A7" s="32">
        <v>45662</v>
      </c>
      <c r="B7" s="11">
        <v>149.78081533882784</v>
      </c>
      <c r="C7"/>
      <c r="D7"/>
    </row>
    <row r="8" spans="1:4">
      <c r="A8" s="32">
        <v>45664</v>
      </c>
      <c r="B8" s="11">
        <v>91.053876892551898</v>
      </c>
      <c r="C8"/>
      <c r="D8"/>
    </row>
    <row r="9" spans="1:4">
      <c r="A9" s="32">
        <v>45667</v>
      </c>
      <c r="B9" s="11">
        <v>174.09641533882785</v>
      </c>
      <c r="C9"/>
      <c r="D9"/>
    </row>
    <row r="10" spans="1:4">
      <c r="A10" s="32">
        <v>45668</v>
      </c>
      <c r="B10" s="11">
        <v>117.67778970797721</v>
      </c>
      <c r="C10"/>
      <c r="D10"/>
    </row>
    <row r="11" spans="1:4">
      <c r="A11" s="32">
        <v>45669</v>
      </c>
      <c r="B11" s="11">
        <v>138.94250252340254</v>
      </c>
      <c r="C11"/>
      <c r="D11"/>
    </row>
    <row r="12" spans="1:4">
      <c r="A12" s="32">
        <v>45672</v>
      </c>
      <c r="B12" s="11">
        <v>82.251076892551893</v>
      </c>
      <c r="C12"/>
      <c r="D12"/>
    </row>
    <row r="13" spans="1:4">
      <c r="A13" s="32">
        <v>45674</v>
      </c>
      <c r="B13" s="11">
        <v>159.96756919006918</v>
      </c>
      <c r="C13"/>
      <c r="D13"/>
    </row>
    <row r="14" spans="1:4">
      <c r="A14" s="32">
        <v>45675</v>
      </c>
      <c r="B14" s="11">
        <v>133.22223585673584</v>
      </c>
      <c r="C14"/>
      <c r="D14"/>
    </row>
    <row r="15" spans="1:4">
      <c r="A15" s="32">
        <v>45676</v>
      </c>
      <c r="B15" s="11">
        <v>121.9995691900692</v>
      </c>
      <c r="C15"/>
      <c r="D15"/>
    </row>
    <row r="16" spans="1:4">
      <c r="A16" s="32">
        <v>45679</v>
      </c>
      <c r="B16" s="11">
        <v>91.115743559218572</v>
      </c>
      <c r="C16"/>
      <c r="D16"/>
    </row>
    <row r="17" spans="1:4">
      <c r="A17" s="32">
        <v>45681</v>
      </c>
      <c r="B17" s="11">
        <v>190.52446148758648</v>
      </c>
      <c r="C17"/>
      <c r="D17"/>
    </row>
    <row r="18" spans="1:4">
      <c r="A18" s="32">
        <v>45682</v>
      </c>
      <c r="B18" s="11">
        <v>151.97361533882784</v>
      </c>
      <c r="C18"/>
      <c r="D18"/>
    </row>
    <row r="19" spans="1:4">
      <c r="A19" s="32">
        <v>45683</v>
      </c>
      <c r="B19" s="11">
        <v>115.59565637464387</v>
      </c>
      <c r="C19"/>
      <c r="D19"/>
    </row>
    <row r="20" spans="1:4">
      <c r="A20" s="32">
        <v>45685</v>
      </c>
      <c r="B20" s="11">
        <v>63.14783074379325</v>
      </c>
      <c r="C20"/>
      <c r="D20"/>
    </row>
    <row r="21" spans="1:4">
      <c r="A21" s="29" t="s">
        <v>47</v>
      </c>
      <c r="B21" s="11">
        <v>1921.7100609584859</v>
      </c>
      <c r="C21"/>
      <c r="D21"/>
    </row>
    <row r="22" spans="1:4">
      <c r="B22"/>
      <c r="C22"/>
      <c r="D22"/>
    </row>
    <row r="23" spans="1:4">
      <c r="B23"/>
      <c r="C23"/>
      <c r="D23"/>
    </row>
    <row r="24" spans="1:4">
      <c r="B24"/>
      <c r="C24"/>
      <c r="D24"/>
    </row>
    <row r="25" spans="1:4">
      <c r="B25"/>
      <c r="C25"/>
      <c r="D25"/>
    </row>
    <row r="26" spans="1:4">
      <c r="B26"/>
      <c r="C26"/>
      <c r="D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0AA6-8EFF-E743-BE8C-13E59DCB83C5}">
  <dimension ref="A3:B11"/>
  <sheetViews>
    <sheetView workbookViewId="0">
      <selection activeCell="F13" sqref="F13"/>
    </sheetView>
  </sheetViews>
  <sheetFormatPr baseColWidth="10" defaultRowHeight="16"/>
  <cols>
    <col min="1" max="1" width="17.83203125" bestFit="1" customWidth="1"/>
    <col min="2" max="2" width="23" bestFit="1" customWidth="1"/>
  </cols>
  <sheetData>
    <row r="3" spans="1:2">
      <c r="A3" s="28" t="s">
        <v>46</v>
      </c>
      <c r="B3" t="s">
        <v>54</v>
      </c>
    </row>
    <row r="4" spans="1:2">
      <c r="A4" s="29">
        <v>2025</v>
      </c>
      <c r="B4" s="11">
        <v>33.168109355718357</v>
      </c>
    </row>
    <row r="5" spans="1:2">
      <c r="A5" s="30" t="s">
        <v>48</v>
      </c>
      <c r="B5" s="11">
        <v>33.168109355718357</v>
      </c>
    </row>
    <row r="6" spans="1:2">
      <c r="A6" s="31" t="s">
        <v>49</v>
      </c>
      <c r="B6" s="11">
        <v>34.349308964183969</v>
      </c>
    </row>
    <row r="7" spans="1:2">
      <c r="A7" s="31" t="s">
        <v>50</v>
      </c>
      <c r="B7" s="11">
        <v>32.803592297517298</v>
      </c>
    </row>
    <row r="8" spans="1:2">
      <c r="A8" s="31" t="s">
        <v>51</v>
      </c>
      <c r="B8" s="11">
        <v>33.819012932437928</v>
      </c>
    </row>
    <row r="9" spans="1:2">
      <c r="A9" s="31" t="s">
        <v>52</v>
      </c>
      <c r="B9" s="11">
        <v>25.259132297517297</v>
      </c>
    </row>
    <row r="10" spans="1:2">
      <c r="A10" s="31" t="s">
        <v>53</v>
      </c>
      <c r="B10" s="11">
        <v>34.187425630850633</v>
      </c>
    </row>
    <row r="11" spans="1:2">
      <c r="A11" s="29" t="s">
        <v>47</v>
      </c>
      <c r="B11" s="11">
        <v>33.168109355718357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88AE-773C-0344-B3AF-EF8E0E1E11B9}">
  <dimension ref="A3:B21"/>
  <sheetViews>
    <sheetView workbookViewId="0">
      <selection activeCell="A3" sqref="A3"/>
    </sheetView>
  </sheetViews>
  <sheetFormatPr baseColWidth="10" defaultRowHeight="16"/>
  <cols>
    <col min="1" max="1" width="13" bestFit="1" customWidth="1"/>
    <col min="2" max="2" width="22" bestFit="1" customWidth="1"/>
  </cols>
  <sheetData>
    <row r="3" spans="1:2">
      <c r="A3" s="28" t="s">
        <v>46</v>
      </c>
      <c r="B3" t="s">
        <v>55</v>
      </c>
    </row>
    <row r="4" spans="1:2">
      <c r="A4" s="29">
        <v>2025</v>
      </c>
      <c r="B4" s="11">
        <v>3.469103679346369</v>
      </c>
    </row>
    <row r="5" spans="1:2">
      <c r="A5" s="30" t="s">
        <v>48</v>
      </c>
      <c r="B5" s="11">
        <v>3.469103679346369</v>
      </c>
    </row>
    <row r="6" spans="1:2">
      <c r="A6" s="32">
        <v>45660</v>
      </c>
      <c r="B6" s="11">
        <v>3.6937079611421719</v>
      </c>
    </row>
    <row r="7" spans="1:2">
      <c r="A7" s="32">
        <v>45662</v>
      </c>
      <c r="B7" s="11">
        <v>3.5662098890197105</v>
      </c>
    </row>
    <row r="8" spans="1:2">
      <c r="A8" s="32">
        <v>45664</v>
      </c>
      <c r="B8" s="11">
        <v>3.2519241747339964</v>
      </c>
    </row>
    <row r="9" spans="1:2">
      <c r="A9" s="32">
        <v>45667</v>
      </c>
      <c r="B9" s="11">
        <v>3.7041790497622946</v>
      </c>
    </row>
    <row r="10" spans="1:2">
      <c r="A10" s="32">
        <v>45668</v>
      </c>
      <c r="B10" s="11">
        <v>3.3622225630850631</v>
      </c>
    </row>
    <row r="11" spans="1:2">
      <c r="A11" s="32">
        <v>45669</v>
      </c>
      <c r="B11" s="11">
        <v>3.6563816453526985</v>
      </c>
    </row>
    <row r="12" spans="1:2">
      <c r="A12" s="32">
        <v>45672</v>
      </c>
      <c r="B12" s="11">
        <v>3.0463361812056258</v>
      </c>
    </row>
    <row r="13" spans="1:2">
      <c r="A13" s="32">
        <v>45674</v>
      </c>
      <c r="B13" s="11">
        <v>3.9991892297517295</v>
      </c>
    </row>
    <row r="14" spans="1:2">
      <c r="A14" s="32">
        <v>45675</v>
      </c>
      <c r="B14" s="11">
        <v>3.505848312019364</v>
      </c>
    </row>
    <row r="15" spans="1:2">
      <c r="A15" s="32">
        <v>45676</v>
      </c>
      <c r="B15" s="11">
        <v>3.2972856537856541</v>
      </c>
    </row>
    <row r="16" spans="1:2">
      <c r="A16" s="32">
        <v>45679</v>
      </c>
      <c r="B16" s="11">
        <v>3.2541336985435203</v>
      </c>
    </row>
    <row r="17" spans="1:2">
      <c r="A17" s="32">
        <v>45681</v>
      </c>
      <c r="B17" s="11">
        <v>3.8104892297517297</v>
      </c>
    </row>
    <row r="18" spans="1:2">
      <c r="A18" s="32">
        <v>45682</v>
      </c>
      <c r="B18" s="11">
        <v>3.6184194128292342</v>
      </c>
    </row>
    <row r="19" spans="1:2">
      <c r="A19" s="32">
        <v>45683</v>
      </c>
      <c r="B19" s="11">
        <v>3.3998722463130551</v>
      </c>
    </row>
    <row r="20" spans="1:2">
      <c r="A20" s="32">
        <v>45685</v>
      </c>
      <c r="B20" s="11">
        <v>2.870355942899693</v>
      </c>
    </row>
    <row r="21" spans="1:2">
      <c r="A21" s="29" t="s">
        <v>47</v>
      </c>
      <c r="B21" s="11">
        <v>3.469103679346369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8106-26A6-1C42-9E5A-1BA701F6CBF0}">
  <dimension ref="A3:C27"/>
  <sheetViews>
    <sheetView zoomScale="95" workbookViewId="0">
      <selection activeCell="F25" sqref="F25"/>
    </sheetView>
  </sheetViews>
  <sheetFormatPr baseColWidth="10" defaultRowHeight="16"/>
  <cols>
    <col min="1" max="1" width="17.83203125" style="45" bestFit="1" customWidth="1"/>
    <col min="2" max="2" width="13.33203125" style="22" bestFit="1" customWidth="1"/>
    <col min="3" max="3" width="19.83203125" bestFit="1" customWidth="1"/>
    <col min="4" max="4" width="19.5" bestFit="1" customWidth="1"/>
  </cols>
  <sheetData>
    <row r="3" spans="1:3">
      <c r="A3" s="43" t="s">
        <v>46</v>
      </c>
      <c r="B3" t="s">
        <v>60</v>
      </c>
      <c r="C3" t="s">
        <v>61</v>
      </c>
    </row>
    <row r="4" spans="1:3">
      <c r="A4" s="44" t="s">
        <v>22</v>
      </c>
      <c r="B4" s="11">
        <v>32.886868487993482</v>
      </c>
      <c r="C4" s="11">
        <v>7.75</v>
      </c>
    </row>
    <row r="5" spans="1:3">
      <c r="A5" s="30" t="s">
        <v>65</v>
      </c>
      <c r="B5" s="11">
        <v>32.886868487993482</v>
      </c>
      <c r="C5" s="11">
        <v>7.75</v>
      </c>
    </row>
    <row r="6" spans="1:3">
      <c r="A6" s="44" t="s">
        <v>23</v>
      </c>
      <c r="B6" s="11">
        <v>27.805212297517301</v>
      </c>
      <c r="C6" s="11">
        <v>5</v>
      </c>
    </row>
    <row r="7" spans="1:3">
      <c r="A7" s="30" t="s">
        <v>66</v>
      </c>
      <c r="B7" s="11">
        <v>27.805212297517301</v>
      </c>
      <c r="C7" s="11">
        <v>5</v>
      </c>
    </row>
    <row r="8" spans="1:3">
      <c r="A8" s="44" t="s">
        <v>20</v>
      </c>
      <c r="B8" s="11">
        <v>28.894470075295075</v>
      </c>
      <c r="C8" s="11">
        <v>5.5</v>
      </c>
    </row>
    <row r="9" spans="1:3">
      <c r="A9" s="30" t="s">
        <v>66</v>
      </c>
      <c r="B9" s="11">
        <v>28.894470075295075</v>
      </c>
      <c r="C9" s="11">
        <v>5.5</v>
      </c>
    </row>
    <row r="10" spans="1:3">
      <c r="A10" s="44" t="s">
        <v>21</v>
      </c>
      <c r="B10" s="11">
        <v>37.968775630850637</v>
      </c>
      <c r="C10" s="11">
        <v>9.5</v>
      </c>
    </row>
    <row r="11" spans="1:3">
      <c r="A11" s="30" t="s">
        <v>65</v>
      </c>
      <c r="B11" s="11">
        <v>37.968775630850637</v>
      </c>
      <c r="C11" s="11">
        <v>9.5</v>
      </c>
    </row>
    <row r="12" spans="1:3">
      <c r="A12" s="44" t="s">
        <v>19</v>
      </c>
      <c r="B12" s="11">
        <v>33.566566371591371</v>
      </c>
      <c r="C12" s="11">
        <v>8</v>
      </c>
    </row>
    <row r="13" spans="1:3">
      <c r="A13" s="30" t="s">
        <v>64</v>
      </c>
      <c r="B13" s="11">
        <v>33.771914519739518</v>
      </c>
      <c r="C13" s="11">
        <v>9</v>
      </c>
    </row>
    <row r="14" spans="1:3">
      <c r="A14" s="30" t="s">
        <v>65</v>
      </c>
      <c r="B14" s="11">
        <v>33.46389229751729</v>
      </c>
      <c r="C14" s="11">
        <v>7.5</v>
      </c>
    </row>
    <row r="15" spans="1:3">
      <c r="A15" s="44" t="s">
        <v>47</v>
      </c>
      <c r="B15" s="11">
        <v>33.168109355718357</v>
      </c>
      <c r="C15" s="11">
        <v>7.6</v>
      </c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B23"/>
    </row>
    <row r="24" spans="1:2">
      <c r="B24"/>
    </row>
    <row r="25" spans="1:2">
      <c r="B25"/>
    </row>
    <row r="26" spans="1:2">
      <c r="B26"/>
    </row>
    <row r="27" spans="1:2">
      <c r="B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94B2-86E7-6D47-A880-BC5A308ED389}">
  <dimension ref="A3:B7"/>
  <sheetViews>
    <sheetView workbookViewId="0">
      <selection activeCell="J24" sqref="J24"/>
    </sheetView>
  </sheetViews>
  <sheetFormatPr baseColWidth="10" defaultRowHeight="16"/>
  <cols>
    <col min="1" max="1" width="14.33203125" bestFit="1" customWidth="1"/>
    <col min="2" max="2" width="13.33203125" bestFit="1" customWidth="1"/>
    <col min="3" max="3" width="25.1640625" bestFit="1" customWidth="1"/>
  </cols>
  <sheetData>
    <row r="3" spans="1:2">
      <c r="A3" s="28" t="s">
        <v>46</v>
      </c>
      <c r="B3" t="s">
        <v>60</v>
      </c>
    </row>
    <row r="4" spans="1:2">
      <c r="A4" s="29" t="s">
        <v>64</v>
      </c>
      <c r="B4" s="11">
        <v>33.771914519739518</v>
      </c>
    </row>
    <row r="5" spans="1:2">
      <c r="A5" s="29" t="s">
        <v>65</v>
      </c>
      <c r="B5" s="11">
        <v>35.035036107041108</v>
      </c>
    </row>
    <row r="6" spans="1:2">
      <c r="A6" s="29" t="s">
        <v>66</v>
      </c>
      <c r="B6" s="11">
        <v>28.349841186406188</v>
      </c>
    </row>
    <row r="7" spans="1:2">
      <c r="A7" s="29" t="s">
        <v>47</v>
      </c>
      <c r="B7" s="11">
        <v>33.168109355718357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0708-EE39-2B44-A461-738EDBB42A6E}">
  <dimension ref="A1:AA34"/>
  <sheetViews>
    <sheetView topLeftCell="T1" workbookViewId="0">
      <selection activeCell="AA2" sqref="AA2"/>
    </sheetView>
  </sheetViews>
  <sheetFormatPr baseColWidth="10" defaultRowHeight="16"/>
  <cols>
    <col min="1" max="1" width="20.83203125" customWidth="1"/>
    <col min="2" max="3" width="20.83203125" style="8" customWidth="1"/>
    <col min="4" max="4" width="20.83203125" style="11" customWidth="1"/>
    <col min="5" max="5" width="21.1640625" customWidth="1"/>
    <col min="6" max="7" width="20.83203125" style="14" customWidth="1"/>
    <col min="8" max="10" width="20.83203125" customWidth="1"/>
    <col min="11" max="11" width="13.6640625" customWidth="1"/>
    <col min="12" max="12" width="18.5" customWidth="1"/>
    <col min="13" max="13" width="17" customWidth="1"/>
    <col min="14" max="14" width="19.5" style="21" customWidth="1"/>
    <col min="15" max="15" width="18.1640625" style="25" customWidth="1"/>
    <col min="17" max="17" width="14.1640625" customWidth="1"/>
    <col min="18" max="18" width="19.1640625" customWidth="1"/>
    <col min="19" max="19" width="19" customWidth="1"/>
    <col min="20" max="20" width="10.83203125" style="11"/>
    <col min="22" max="22" width="10.83203125" style="11"/>
    <col min="23" max="23" width="10.83203125" style="2"/>
    <col min="24" max="24" width="21.5" style="2" bestFit="1" customWidth="1"/>
    <col min="25" max="25" width="16.1640625" customWidth="1"/>
    <col min="26" max="26" width="20.83203125" style="11" customWidth="1"/>
    <col min="27" max="27" width="16.33203125" customWidth="1"/>
  </cols>
  <sheetData>
    <row r="1" spans="1:27" ht="25" customHeight="1">
      <c r="A1" s="1" t="s">
        <v>0</v>
      </c>
      <c r="B1" s="6" t="s">
        <v>2</v>
      </c>
      <c r="C1" s="6" t="s">
        <v>3</v>
      </c>
      <c r="D1" s="9" t="s">
        <v>18</v>
      </c>
      <c r="E1" s="1" t="s">
        <v>4</v>
      </c>
      <c r="F1" s="12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32</v>
      </c>
      <c r="N1" s="19" t="s">
        <v>33</v>
      </c>
      <c r="O1" s="23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9" t="s">
        <v>40</v>
      </c>
      <c r="U1" s="1" t="s">
        <v>41</v>
      </c>
      <c r="V1" s="9" t="s">
        <v>42</v>
      </c>
      <c r="W1" s="26" t="s">
        <v>43</v>
      </c>
      <c r="X1" s="26" t="s">
        <v>44</v>
      </c>
      <c r="Y1" s="1" t="s">
        <v>45</v>
      </c>
      <c r="Z1" s="9" t="s">
        <v>1</v>
      </c>
      <c r="AA1" s="1" t="s">
        <v>63</v>
      </c>
    </row>
    <row r="2" spans="1:27" ht="18">
      <c r="A2" s="3">
        <v>45660</v>
      </c>
      <c r="B2" s="7">
        <v>0.70833333333333337</v>
      </c>
      <c r="C2" s="7">
        <v>0.875</v>
      </c>
      <c r="D2" s="7">
        <f>tblShift[[#This Row],[end_time]]-tblShift[[#This Row],[start_time]]</f>
        <v>0.16666666666666663</v>
      </c>
      <c r="E2" s="4">
        <v>8</v>
      </c>
      <c r="F2" s="13">
        <v>118.4</v>
      </c>
      <c r="G2" s="13">
        <v>22</v>
      </c>
      <c r="H2" s="4">
        <v>42500</v>
      </c>
      <c r="I2" s="4">
        <v>42538</v>
      </c>
      <c r="J2" s="4">
        <f>tblShift[[#This Row],[odometer_end]]-tblShift[[#This Row],[odometer_start]]</f>
        <v>38</v>
      </c>
      <c r="K2" s="13">
        <f>tblShift[[#This Row],[earnings]]+tblShift[[#This Row],[tips]]</f>
        <v>140.4</v>
      </c>
      <c r="L2" s="5" cm="1">
        <f t="array" ref="L2">tblShift[[#This Row],[total_time (hrs)]] *
 SUMPRODUCT(
   (tblExpense[cost_type]="Insurance") *
   (tblShift[[#This Row],[date]]&gt;=tblExpense[period_start]) *
   (tblShift[[#This Row],[date]]&lt;=tblExpense[period_end]) *
   tblExpense[cost_per_hour]
 )</f>
        <v>2.2893772893772892E-2</v>
      </c>
      <c r="M2" s="5" cm="1">
        <f t="array" ref="M2">tblShift[[#This Row],[total_time (hrs)]] *
 SUMPRODUCT(
   (tblExpense[cost_type]="Rego") *
   (tblShift[[#This Row],[date]]&gt;=tblExpense[period_start]) *
   (tblShift[[#This Row],[date]]&lt;=tblExpense[period_end]) *
   tblExpense[cost_per_hour]
 )</f>
        <v>1.6203703703703699E-2</v>
      </c>
      <c r="N2" s="20">
        <f>IFERROR(
    tblShift[[#This Row],[business_km]] *
    _xlfn.XLOOKUP(
        tblShift[[#This Row],[date]],
        tblService[invoice_date],
        tblService[cost_per_km],
        0,
        -1
    ),
0)</f>
        <v>0</v>
      </c>
      <c r="O2" s="24">
        <f>IFERROR(
    tblShift[[#This Row],[business_km]] *
    _xlfn.XLOOKUP(
        tblShift[[#This Row],[date]],
        tblFuel[date],
        tblFuel[cost_per_km],
        0,
        -1
    ),
0)</f>
        <v>0</v>
      </c>
      <c r="P2" s="13">
        <f>tblShift[[#This Row],[insurance_expense]]+tblShift[[#This Row],[rego_expenses]]+tblShift[[#This Row],[service_expense]]+tblShift[[#This Row],[fuel_expense]]</f>
        <v>3.9097476597476588E-2</v>
      </c>
      <c r="Q2" s="13">
        <f>tblShift[[#This Row],[total_income]]-tblShift[[#This Row],[total_expense]]</f>
        <v>140.36090252340253</v>
      </c>
      <c r="R2" s="13">
        <f>tblShift[[#This Row],[total_profit]]/(tblShift[[#This Row],[total_time (hrs)]]*24)</f>
        <v>35.09022563085064</v>
      </c>
      <c r="S2" s="13">
        <f>tblShift[[#This Row],[total_profit]]/tblShift[[#This Row],[business_km]]</f>
        <v>3.6937079611421719</v>
      </c>
      <c r="T2" s="10">
        <f>YEAR(tblShift[[#This Row],[date]])</f>
        <v>2025</v>
      </c>
      <c r="U2" s="13" t="str">
        <f>TEXT(tblShift[[#This Row],[date]],"MMM")</f>
        <v>Jan</v>
      </c>
      <c r="V2" s="10">
        <f>WEEKNUM(tblShift[[#This Row],[date]],2)</f>
        <v>1</v>
      </c>
      <c r="W2" s="27">
        <f>tblShift[[#This Row],[date]] - WEEKDAY(tblShift[[#This Row],[date]],2) + 1</f>
        <v>45656</v>
      </c>
      <c r="X2" s="3">
        <f>tblShift[[#This Row],[week_start]]+6</f>
        <v>45662</v>
      </c>
      <c r="Y2" s="13" t="str">
        <f>TEXT(tblShift[[#This Row],[week_start]],"dd MMM") &amp; " - " &amp; TEXT(tblShift[[#This Row],[week_end]],"dd MMM")</f>
        <v>30 Dec - 05 Jan</v>
      </c>
      <c r="Z2" s="10" t="str">
        <f>TEXT(tblShift[[#This Row],[date]],"ddd")</f>
        <v>Fri</v>
      </c>
      <c r="AA2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3" spans="1:27">
      <c r="A3" s="3">
        <v>45662</v>
      </c>
      <c r="B3" s="7">
        <v>0.75</v>
      </c>
      <c r="C3" s="7">
        <v>0.9375</v>
      </c>
      <c r="D3" s="7">
        <f>tblShift[[#This Row],[end_time]]-tblShift[[#This Row],[start_time]]</f>
        <v>0.1875</v>
      </c>
      <c r="E3" s="4">
        <v>9</v>
      </c>
      <c r="F3" s="13">
        <v>134.5</v>
      </c>
      <c r="G3" s="13">
        <v>18.5</v>
      </c>
      <c r="H3" s="4">
        <v>42538</v>
      </c>
      <c r="I3" s="4">
        <v>42580</v>
      </c>
      <c r="J3" s="4">
        <f>tblShift[[#This Row],[odometer_end]]-tblShift[[#This Row],[odometer_start]]</f>
        <v>42</v>
      </c>
      <c r="K3" s="13">
        <f>tblShift[[#This Row],[earnings]]+tblShift[[#This Row],[tips]]</f>
        <v>153</v>
      </c>
      <c r="L3" s="5" cm="1">
        <f t="array" ref="L3">tblShift[[#This Row],[total_time (hrs)]] *
 SUMPRODUCT(
   (tblExpense[cost_type]="Insurance") *
   (tblShift[[#This Row],[date]]&gt;=tblExpense[period_start]) *
   (tblShift[[#This Row],[date]]&lt;=tblExpense[period_end]) *
   tblExpense[cost_per_hour]
 )</f>
        <v>2.5755494505494508E-2</v>
      </c>
      <c r="M3" s="5" cm="1">
        <f t="array" ref="M3">tblShift[[#This Row],[total_time (hrs)]] *
 SUMPRODUCT(
   (tblExpense[cost_type]="Rego") *
   (tblShift[[#This Row],[date]]&gt;=tblExpense[period_start]) *
   (tblShift[[#This Row],[date]]&lt;=tblExpense[period_end]) *
   tblExpense[cost_per_hour]
 )</f>
        <v>1.8229166666666668E-2</v>
      </c>
      <c r="N3" s="20">
        <f>IFERROR(
    tblShift[[#This Row],[business_km]] *
    _xlfn.XLOOKUP(
        tblShift[[#This Row],[date]],
        tblService[invoice_date],
        tblService[cost_per_km],
        0,
        -1
    ),
0)</f>
        <v>0</v>
      </c>
      <c r="O3" s="24">
        <f>IFERROR(
    tblShift[[#This Row],[business_km]] *
    _xlfn.XLOOKUP(
        tblShift[[#This Row],[date]],
        tblFuel[date],
        tblFuel[cost_per_km],
        0,
        -1
    ),
0)</f>
        <v>3.1752000000000002</v>
      </c>
      <c r="P3" s="13">
        <f>tblShift[[#This Row],[insurance_expense]]+tblShift[[#This Row],[rego_expenses]]+tblShift[[#This Row],[service_expense]]+tblShift[[#This Row],[fuel_expense]]</f>
        <v>3.2191846611721613</v>
      </c>
      <c r="Q3" s="13">
        <f>tblShift[[#This Row],[total_income]]-tblShift[[#This Row],[total_expense]]</f>
        <v>149.78081533882784</v>
      </c>
      <c r="R3" s="13">
        <f>tblShift[[#This Row],[total_profit]]/(tblShift[[#This Row],[total_time (hrs)]]*24)</f>
        <v>33.284625630850627</v>
      </c>
      <c r="S3" s="13">
        <f>tblShift[[#This Row],[total_profit]]/tblShift[[#This Row],[business_km]]</f>
        <v>3.5662098890197105</v>
      </c>
      <c r="T3" s="10">
        <f>YEAR(tblShift[[#This Row],[date]])</f>
        <v>2025</v>
      </c>
      <c r="U3" s="13" t="str">
        <f>TEXT(tblShift[[#This Row],[date]],"MMM")</f>
        <v>Jan</v>
      </c>
      <c r="V3" s="10">
        <f>WEEKNUM(tblShift[[#This Row],[date]],2)</f>
        <v>1</v>
      </c>
      <c r="W3" s="3">
        <f>tblShift[[#This Row],[date]] - WEEKDAY(tblShift[[#This Row],[date]],2) + 1</f>
        <v>45656</v>
      </c>
      <c r="X3" s="3">
        <f>tblShift[[#This Row],[week_start]]+6</f>
        <v>45662</v>
      </c>
      <c r="Y3" s="13" t="str">
        <f>TEXT(tblShift[[#This Row],[week_start]],"dd MMM") &amp; " - " &amp; TEXT(tblShift[[#This Row],[week_end]],"dd MMM")</f>
        <v>30 Dec - 05 Jan</v>
      </c>
      <c r="Z3" s="10" t="str">
        <f>TEXT(tblShift[[#This Row],[date]],"ddd")</f>
        <v>Sun</v>
      </c>
      <c r="AA3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4" spans="1:27">
      <c r="A4" s="3">
        <v>45664</v>
      </c>
      <c r="B4" s="7">
        <v>0.5</v>
      </c>
      <c r="C4" s="7">
        <v>0.625</v>
      </c>
      <c r="D4" s="7">
        <f>tblShift[[#This Row],[end_time]]-tblShift[[#This Row],[start_time]]</f>
        <v>0.125</v>
      </c>
      <c r="E4" s="4">
        <v>6</v>
      </c>
      <c r="F4" s="13">
        <v>81.2</v>
      </c>
      <c r="G4" s="13">
        <v>12</v>
      </c>
      <c r="H4" s="4">
        <v>42580</v>
      </c>
      <c r="I4" s="4">
        <v>42608</v>
      </c>
      <c r="J4" s="4">
        <f>tblShift[[#This Row],[odometer_end]]-tblShift[[#This Row],[odometer_start]]</f>
        <v>28</v>
      </c>
      <c r="K4" s="13">
        <f>tblShift[[#This Row],[earnings]]+tblShift[[#This Row],[tips]]</f>
        <v>93.2</v>
      </c>
      <c r="L4" s="5" cm="1">
        <f t="array" ref="L4">tblShift[[#This Row],[total_time (hrs)]] *
 SUMPRODUCT(
   (tblExpense[cost_type]="Insurance") *
   (tblShift[[#This Row],[date]]&gt;=tblExpense[period_start]) *
   (tblShift[[#This Row],[date]]&lt;=tblExpense[period_end]) *
   tblExpense[cost_per_hour]
 )</f>
        <v>1.7170329670329672E-2</v>
      </c>
      <c r="M4" s="5" cm="1">
        <f t="array" ref="M4">tblShift[[#This Row],[total_time (hrs)]] *
 SUMPRODUCT(
   (tblExpense[cost_type]="Rego") *
   (tblShift[[#This Row],[date]]&gt;=tblExpense[period_start]) *
   (tblShift[[#This Row],[date]]&lt;=tblExpense[period_end]) *
   tblExpense[cost_per_hour]
 )</f>
        <v>1.2152777777777778E-2</v>
      </c>
      <c r="N4" s="20">
        <f>IFERROR(
    tblShift[[#This Row],[business_km]] *
    _xlfn.XLOOKUP(
        tblShift[[#This Row],[date]],
        tblService[invoice_date],
        tblService[cost_per_km],
        0,
        -1
    ),
0)</f>
        <v>0</v>
      </c>
      <c r="O4" s="24">
        <f>IFERROR(
    tblShift[[#This Row],[business_km]] *
    _xlfn.XLOOKUP(
        tblShift[[#This Row],[date]],
        tblFuel[date],
        tblFuel[cost_per_km],
        0,
        -1
    ),
0)</f>
        <v>2.1168</v>
      </c>
      <c r="P4" s="13">
        <f>tblShift[[#This Row],[insurance_expense]]+tblShift[[#This Row],[rego_expenses]]+tblShift[[#This Row],[service_expense]]+tblShift[[#This Row],[fuel_expense]]</f>
        <v>2.1461231074481075</v>
      </c>
      <c r="Q4" s="13">
        <f>tblShift[[#This Row],[total_income]]-tblShift[[#This Row],[total_expense]]</f>
        <v>91.053876892551898</v>
      </c>
      <c r="R4" s="13">
        <f>tblShift[[#This Row],[total_profit]]/(tblShift[[#This Row],[total_time (hrs)]]*24)</f>
        <v>30.351292297517301</v>
      </c>
      <c r="S4" s="13">
        <f>tblShift[[#This Row],[total_profit]]/tblShift[[#This Row],[business_km]]</f>
        <v>3.2519241747339964</v>
      </c>
      <c r="T4" s="10">
        <f>YEAR(tblShift[[#This Row],[date]])</f>
        <v>2025</v>
      </c>
      <c r="U4" s="13" t="str">
        <f>TEXT(tblShift[[#This Row],[date]],"MMM")</f>
        <v>Jan</v>
      </c>
      <c r="V4" s="10">
        <f>WEEKNUM(tblShift[[#This Row],[date]],2)</f>
        <v>2</v>
      </c>
      <c r="W4" s="3">
        <f>tblShift[[#This Row],[date]] - WEEKDAY(tblShift[[#This Row],[date]],2) + 1</f>
        <v>45663</v>
      </c>
      <c r="X4" s="3">
        <f>tblShift[[#This Row],[week_start]]+6</f>
        <v>45669</v>
      </c>
      <c r="Y4" s="13" t="str">
        <f>TEXT(tblShift[[#This Row],[week_start]],"dd MMM") &amp; " - " &amp; TEXT(tblShift[[#This Row],[week_end]],"dd MMM")</f>
        <v>06 Jan - 12 Jan</v>
      </c>
      <c r="Z4" s="10" t="str">
        <f>TEXT(tblShift[[#This Row],[date]],"ddd")</f>
        <v>Tue</v>
      </c>
      <c r="AA4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Lunch Peak</v>
      </c>
    </row>
    <row r="5" spans="1:27">
      <c r="A5" s="3">
        <v>45667</v>
      </c>
      <c r="B5" s="7">
        <v>0.79166666666666663</v>
      </c>
      <c r="C5" s="7">
        <v>0.97916666666666663</v>
      </c>
      <c r="D5" s="7">
        <f>tblShift[[#This Row],[end_time]]-tblShift[[#This Row],[start_time]]</f>
        <v>0.1875</v>
      </c>
      <c r="E5" s="4">
        <v>10</v>
      </c>
      <c r="F5" s="13">
        <v>152.75</v>
      </c>
      <c r="G5" s="13">
        <v>25</v>
      </c>
      <c r="H5" s="4">
        <v>42608</v>
      </c>
      <c r="I5" s="4">
        <v>42655</v>
      </c>
      <c r="J5" s="4">
        <f>tblShift[[#This Row],[odometer_end]]-tblShift[[#This Row],[odometer_start]]</f>
        <v>47</v>
      </c>
      <c r="K5" s="13">
        <f>tblShift[[#This Row],[earnings]]+tblShift[[#This Row],[tips]]</f>
        <v>177.75</v>
      </c>
      <c r="L5" s="5" cm="1">
        <f t="array" ref="L5">tblShift[[#This Row],[total_time (hrs)]] *
 SUMPRODUCT(
   (tblExpense[cost_type]="Insurance") *
   (tblShift[[#This Row],[date]]&gt;=tblExpense[period_start]) *
   (tblShift[[#This Row],[date]]&lt;=tblExpense[period_end]) *
   tblExpense[cost_per_hour]
 )</f>
        <v>2.5755494505494508E-2</v>
      </c>
      <c r="M5" s="5" cm="1">
        <f t="array" ref="M5">tblShift[[#This Row],[total_time (hrs)]] *
 SUMPRODUCT(
   (tblExpense[cost_type]="Rego") *
   (tblShift[[#This Row],[date]]&gt;=tblExpense[period_start]) *
   (tblShift[[#This Row],[date]]&lt;=tblExpense[period_end]) *
   tblExpense[cost_per_hour]
 )</f>
        <v>1.8229166666666668E-2</v>
      </c>
      <c r="N5" s="20">
        <f>IFERROR(
    tblShift[[#This Row],[business_km]] *
    _xlfn.XLOOKUP(
        tblShift[[#This Row],[date]],
        tblService[invoice_date],
        tblService[cost_per_km],
        0,
        -1
    ),
0)</f>
        <v>0</v>
      </c>
      <c r="O5" s="24">
        <f>IFERROR(
    tblShift[[#This Row],[business_km]] *
    _xlfn.XLOOKUP(
        tblShift[[#This Row],[date]],
        tblFuel[date],
        tblFuel[cost_per_km],
        0,
        -1
    ),
0)</f>
        <v>3.6095999999999995</v>
      </c>
      <c r="P5" s="13">
        <f>tblShift[[#This Row],[insurance_expense]]+tblShift[[#This Row],[rego_expenses]]+tblShift[[#This Row],[service_expense]]+tblShift[[#This Row],[fuel_expense]]</f>
        <v>3.6535846611721605</v>
      </c>
      <c r="Q5" s="13">
        <f>tblShift[[#This Row],[total_income]]-tblShift[[#This Row],[total_expense]]</f>
        <v>174.09641533882785</v>
      </c>
      <c r="R5" s="13">
        <f>tblShift[[#This Row],[total_profit]]/(tblShift[[#This Row],[total_time (hrs)]]*24)</f>
        <v>38.688092297517301</v>
      </c>
      <c r="S5" s="13">
        <f>tblShift[[#This Row],[total_profit]]/tblShift[[#This Row],[business_km]]</f>
        <v>3.7041790497622946</v>
      </c>
      <c r="T5" s="10">
        <f>YEAR(tblShift[[#This Row],[date]])</f>
        <v>2025</v>
      </c>
      <c r="U5" s="13" t="str">
        <f>TEXT(tblShift[[#This Row],[date]],"MMM")</f>
        <v>Jan</v>
      </c>
      <c r="V5" s="10">
        <f>WEEKNUM(tblShift[[#This Row],[date]],2)</f>
        <v>2</v>
      </c>
      <c r="W5" s="3">
        <f>tblShift[[#This Row],[date]] - WEEKDAY(tblShift[[#This Row],[date]],2) + 1</f>
        <v>45663</v>
      </c>
      <c r="X5" s="3">
        <f>tblShift[[#This Row],[week_start]]+6</f>
        <v>45669</v>
      </c>
      <c r="Y5" s="13" t="str">
        <f>TEXT(tblShift[[#This Row],[week_start]],"dd MMM") &amp; " - " &amp; TEXT(tblShift[[#This Row],[week_end]],"dd MMM")</f>
        <v>06 Jan - 12 Jan</v>
      </c>
      <c r="Z5" s="10" t="str">
        <f>TEXT(tblShift[[#This Row],[date]],"ddd")</f>
        <v>Fri</v>
      </c>
      <c r="AA5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6" spans="1:27">
      <c r="A6" s="3">
        <v>45668</v>
      </c>
      <c r="B6" s="7">
        <v>0.72916666666666663</v>
      </c>
      <c r="C6" s="7">
        <v>0.875</v>
      </c>
      <c r="D6" s="7">
        <f>tblShift[[#This Row],[end_time]]-tblShift[[#This Row],[start_time]]</f>
        <v>0.14583333333333337</v>
      </c>
      <c r="E6" s="4">
        <v>7</v>
      </c>
      <c r="F6" s="13">
        <v>102.4</v>
      </c>
      <c r="G6" s="13">
        <v>18</v>
      </c>
      <c r="H6" s="4">
        <v>42655</v>
      </c>
      <c r="I6" s="4">
        <v>42690</v>
      </c>
      <c r="J6" s="4">
        <f>tblShift[[#This Row],[odometer_end]]-tblShift[[#This Row],[odometer_start]]</f>
        <v>35</v>
      </c>
      <c r="K6" s="13">
        <f>tblShift[[#This Row],[earnings]]+tblShift[[#This Row],[tips]]</f>
        <v>120.4</v>
      </c>
      <c r="L6" s="5" cm="1">
        <f t="array" ref="L6">tblShift[[#This Row],[total_time (hrs)]] *
 SUMPRODUCT(
   (tblExpense[cost_type]="Insurance") *
   (tblShift[[#This Row],[date]]&gt;=tblExpense[period_start]) *
   (tblShift[[#This Row],[date]]&lt;=tblExpense[period_end]) *
   tblExpense[cost_per_hour]
 )</f>
        <v>2.0032051282051287E-2</v>
      </c>
      <c r="M6" s="5" cm="1">
        <f t="array" ref="M6">tblShift[[#This Row],[total_time (hrs)]] *
 SUMPRODUCT(
   (tblExpense[cost_type]="Rego") *
   (tblShift[[#This Row],[date]]&gt;=tblExpense[period_start]) *
   (tblShift[[#This Row],[date]]&lt;=tblExpense[period_end]) *
   tblExpense[cost_per_hour]
 )</f>
        <v>1.4178240740740745E-2</v>
      </c>
      <c r="N6" s="20">
        <f>IFERROR(
    tblShift[[#This Row],[business_km]] *
    _xlfn.XLOOKUP(
        tblShift[[#This Row],[date]],
        tblService[invoice_date],
        tblService[cost_per_km],
        0,
        -1
    ),
0)</f>
        <v>0</v>
      </c>
      <c r="O6" s="24">
        <f>IFERROR(
    tblShift[[#This Row],[business_km]] *
    _xlfn.XLOOKUP(
        tblShift[[#This Row],[date]],
        tblFuel[date],
        tblFuel[cost_per_km],
        0,
        -1
    ),
0)</f>
        <v>2.6879999999999997</v>
      </c>
      <c r="P6" s="13">
        <f>tblShift[[#This Row],[insurance_expense]]+tblShift[[#This Row],[rego_expenses]]+tblShift[[#This Row],[service_expense]]+tblShift[[#This Row],[fuel_expense]]</f>
        <v>2.7222102920227917</v>
      </c>
      <c r="Q6" s="13">
        <f>tblShift[[#This Row],[total_income]]-tblShift[[#This Row],[total_expense]]</f>
        <v>117.67778970797721</v>
      </c>
      <c r="R6" s="13">
        <f>tblShift[[#This Row],[total_profit]]/(tblShift[[#This Row],[total_time (hrs)]]*24)</f>
        <v>33.622225630850622</v>
      </c>
      <c r="S6" s="13">
        <f>tblShift[[#This Row],[total_profit]]/tblShift[[#This Row],[business_km]]</f>
        <v>3.3622225630850631</v>
      </c>
      <c r="T6" s="10">
        <f>YEAR(tblShift[[#This Row],[date]])</f>
        <v>2025</v>
      </c>
      <c r="U6" s="13" t="str">
        <f>TEXT(tblShift[[#This Row],[date]],"MMM")</f>
        <v>Jan</v>
      </c>
      <c r="V6" s="10">
        <f>WEEKNUM(tblShift[[#This Row],[date]],2)</f>
        <v>2</v>
      </c>
      <c r="W6" s="3">
        <f>tblShift[[#This Row],[date]] - WEEKDAY(tblShift[[#This Row],[date]],2) + 1</f>
        <v>45663</v>
      </c>
      <c r="X6" s="3">
        <f>tblShift[[#This Row],[week_start]]+6</f>
        <v>45669</v>
      </c>
      <c r="Y6" s="13" t="str">
        <f>TEXT(tblShift[[#This Row],[week_start]],"dd MMM") &amp; " - " &amp; TEXT(tblShift[[#This Row],[week_end]],"dd MMM")</f>
        <v>06 Jan - 12 Jan</v>
      </c>
      <c r="Z6" s="10" t="str">
        <f>TEXT(tblShift[[#This Row],[date]],"ddd")</f>
        <v>Sat</v>
      </c>
      <c r="AA6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7" spans="1:27">
      <c r="A7" s="3">
        <v>45669</v>
      </c>
      <c r="B7" s="7">
        <v>0.75</v>
      </c>
      <c r="C7" s="7">
        <v>0.91666666666666663</v>
      </c>
      <c r="D7" s="7">
        <f>tblShift[[#This Row],[end_time]]-tblShift[[#This Row],[start_time]]</f>
        <v>0.16666666666666663</v>
      </c>
      <c r="E7" s="4">
        <v>8</v>
      </c>
      <c r="F7" s="13">
        <v>121.9</v>
      </c>
      <c r="G7" s="13">
        <v>20</v>
      </c>
      <c r="H7" s="4">
        <v>42690</v>
      </c>
      <c r="I7" s="4">
        <v>42728</v>
      </c>
      <c r="J7" s="4">
        <f>tblShift[[#This Row],[odometer_end]]-tblShift[[#This Row],[odometer_start]]</f>
        <v>38</v>
      </c>
      <c r="K7" s="13">
        <f>tblShift[[#This Row],[earnings]]+tblShift[[#This Row],[tips]]</f>
        <v>141.9</v>
      </c>
      <c r="L7" s="5" cm="1">
        <f t="array" ref="L7">tblShift[[#This Row],[total_time (hrs)]] *
 SUMPRODUCT(
   (tblExpense[cost_type]="Insurance") *
   (tblShift[[#This Row],[date]]&gt;=tblExpense[period_start]) *
   (tblShift[[#This Row],[date]]&lt;=tblExpense[period_end]) *
   tblExpense[cost_per_hour]
 )</f>
        <v>2.2893772893772892E-2</v>
      </c>
      <c r="M7" s="5" cm="1">
        <f t="array" ref="M7">tblShift[[#This Row],[total_time (hrs)]] *
 SUMPRODUCT(
   (tblExpense[cost_type]="Rego") *
   (tblShift[[#This Row],[date]]&gt;=tblExpense[period_start]) *
   (tblShift[[#This Row],[date]]&lt;=tblExpense[period_end]) *
   tblExpense[cost_per_hour]
 )</f>
        <v>1.6203703703703699E-2</v>
      </c>
      <c r="N7" s="20">
        <f>IFERROR(
    tblShift[[#This Row],[business_km]] *
    _xlfn.XLOOKUP(
        tblShift[[#This Row],[date]],
        tblService[invoice_date],
        tblService[cost_per_km],
        0,
        -1
    ),
0)</f>
        <v>0</v>
      </c>
      <c r="O7" s="24">
        <f>IFERROR(
    tblShift[[#This Row],[business_km]] *
    _xlfn.XLOOKUP(
        tblShift[[#This Row],[date]],
        tblFuel[date],
        tblFuel[cost_per_km],
        0,
        -1
    ),
0)</f>
        <v>2.9183999999999997</v>
      </c>
      <c r="P7" s="13">
        <f>tblShift[[#This Row],[insurance_expense]]+tblShift[[#This Row],[rego_expenses]]+tblShift[[#This Row],[service_expense]]+tblShift[[#This Row],[fuel_expense]]</f>
        <v>2.9574974765974762</v>
      </c>
      <c r="Q7" s="13">
        <f>tblShift[[#This Row],[total_income]]-tblShift[[#This Row],[total_expense]]</f>
        <v>138.94250252340254</v>
      </c>
      <c r="R7" s="13">
        <f>tblShift[[#This Row],[total_profit]]/(tblShift[[#This Row],[total_time (hrs)]]*24)</f>
        <v>34.735625630850642</v>
      </c>
      <c r="S7" s="13">
        <f>tblShift[[#This Row],[total_profit]]/tblShift[[#This Row],[business_km]]</f>
        <v>3.6563816453526985</v>
      </c>
      <c r="T7" s="10">
        <f>YEAR(tblShift[[#This Row],[date]])</f>
        <v>2025</v>
      </c>
      <c r="U7" s="13" t="str">
        <f>TEXT(tblShift[[#This Row],[date]],"MMM")</f>
        <v>Jan</v>
      </c>
      <c r="V7" s="10">
        <f>WEEKNUM(tblShift[[#This Row],[date]],2)</f>
        <v>2</v>
      </c>
      <c r="W7" s="3">
        <f>tblShift[[#This Row],[date]] - WEEKDAY(tblShift[[#This Row],[date]],2) + 1</f>
        <v>45663</v>
      </c>
      <c r="X7" s="3">
        <f>tblShift[[#This Row],[week_start]]+6</f>
        <v>45669</v>
      </c>
      <c r="Y7" s="13" t="str">
        <f>TEXT(tblShift[[#This Row],[week_start]],"dd MMM") &amp; " - " &amp; TEXT(tblShift[[#This Row],[week_end]],"dd MMM")</f>
        <v>06 Jan - 12 Jan</v>
      </c>
      <c r="Z7" s="10" t="str">
        <f>TEXT(tblShift[[#This Row],[date]],"ddd")</f>
        <v>Sun</v>
      </c>
      <c r="AA7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8" spans="1:27">
      <c r="A8" s="3">
        <v>45672</v>
      </c>
      <c r="B8" s="7">
        <v>0.52083333333333337</v>
      </c>
      <c r="C8" s="7">
        <v>0.64583333333333337</v>
      </c>
      <c r="D8" s="7">
        <f>tblShift[[#This Row],[end_time]]-tblShift[[#This Row],[start_time]]</f>
        <v>0.125</v>
      </c>
      <c r="E8" s="4">
        <v>5</v>
      </c>
      <c r="F8" s="13">
        <v>74.3</v>
      </c>
      <c r="G8" s="13">
        <v>10</v>
      </c>
      <c r="H8" s="4">
        <v>42728</v>
      </c>
      <c r="I8" s="4">
        <v>42755</v>
      </c>
      <c r="J8" s="4">
        <f>tblShift[[#This Row],[odometer_end]]-tblShift[[#This Row],[odometer_start]]</f>
        <v>27</v>
      </c>
      <c r="K8" s="13">
        <f>tblShift[[#This Row],[earnings]]+tblShift[[#This Row],[tips]]</f>
        <v>84.3</v>
      </c>
      <c r="L8" s="5" cm="1">
        <f t="array" ref="L8">tblShift[[#This Row],[total_time (hrs)]] *
 SUMPRODUCT(
   (tblExpense[cost_type]="Insurance") *
   (tblShift[[#This Row],[date]]&gt;=tblExpense[period_start]) *
   (tblShift[[#This Row],[date]]&lt;=tblExpense[period_end]) *
   tblExpense[cost_per_hour]
 )</f>
        <v>1.7170329670329672E-2</v>
      </c>
      <c r="M8" s="5" cm="1">
        <f t="array" ref="M8">tblShift[[#This Row],[total_time (hrs)]] *
 SUMPRODUCT(
   (tblExpense[cost_type]="Rego") *
   (tblShift[[#This Row],[date]]&gt;=tblExpense[period_start]) *
   (tblShift[[#This Row],[date]]&lt;=tblExpense[period_end]) *
   tblExpense[cost_per_hour]
 )</f>
        <v>1.2152777777777778E-2</v>
      </c>
      <c r="N8" s="20">
        <f>IFERROR(
    tblShift[[#This Row],[business_km]] *
    _xlfn.XLOOKUP(
        tblShift[[#This Row],[date]],
        tblService[invoice_date],
        tblService[cost_per_km],
        0,
        -1
    ),
0)</f>
        <v>0</v>
      </c>
      <c r="O8" s="24">
        <f>IFERROR(
    tblShift[[#This Row],[business_km]] *
    _xlfn.XLOOKUP(
        tblShift[[#This Row],[date]],
        tblFuel[date],
        tblFuel[cost_per_km],
        0,
        -1
    ),
0)</f>
        <v>2.0196000000000001</v>
      </c>
      <c r="P8" s="13">
        <f>tblShift[[#This Row],[insurance_expense]]+tblShift[[#This Row],[rego_expenses]]+tblShift[[#This Row],[service_expense]]+tblShift[[#This Row],[fuel_expense]]</f>
        <v>2.0489231074481076</v>
      </c>
      <c r="Q8" s="13">
        <f>tblShift[[#This Row],[total_income]]-tblShift[[#This Row],[total_expense]]</f>
        <v>82.251076892551893</v>
      </c>
      <c r="R8" s="13">
        <f>tblShift[[#This Row],[total_profit]]/(tblShift[[#This Row],[total_time (hrs)]]*24)</f>
        <v>27.417025630850631</v>
      </c>
      <c r="S8" s="13">
        <f>tblShift[[#This Row],[total_profit]]/tblShift[[#This Row],[business_km]]</f>
        <v>3.0463361812056258</v>
      </c>
      <c r="T8" s="10">
        <f>YEAR(tblShift[[#This Row],[date]])</f>
        <v>2025</v>
      </c>
      <c r="U8" s="13" t="str">
        <f>TEXT(tblShift[[#This Row],[date]],"MMM")</f>
        <v>Jan</v>
      </c>
      <c r="V8" s="10">
        <f>WEEKNUM(tblShift[[#This Row],[date]],2)</f>
        <v>3</v>
      </c>
      <c r="W8" s="3">
        <f>tblShift[[#This Row],[date]] - WEEKDAY(tblShift[[#This Row],[date]],2) + 1</f>
        <v>45670</v>
      </c>
      <c r="X8" s="3">
        <f>tblShift[[#This Row],[week_start]]+6</f>
        <v>45676</v>
      </c>
      <c r="Y8" s="13" t="str">
        <f>TEXT(tblShift[[#This Row],[week_start]],"dd MMM") &amp; " - " &amp; TEXT(tblShift[[#This Row],[week_end]],"dd MMM")</f>
        <v>13 Jan - 19 Jan</v>
      </c>
      <c r="Z8" s="10" t="str">
        <f>TEXT(tblShift[[#This Row],[date]],"ddd")</f>
        <v>Wed</v>
      </c>
      <c r="AA8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Lunch Peak</v>
      </c>
    </row>
    <row r="9" spans="1:27">
      <c r="A9" s="3">
        <v>45674</v>
      </c>
      <c r="B9" s="7">
        <v>0.77083333333333337</v>
      </c>
      <c r="C9" s="7">
        <v>0.9375</v>
      </c>
      <c r="D9" s="7">
        <f>tblShift[[#This Row],[end_time]]-tblShift[[#This Row],[start_time]]</f>
        <v>0.16666666666666663</v>
      </c>
      <c r="E9" s="4">
        <v>9</v>
      </c>
      <c r="F9" s="13">
        <v>140.1</v>
      </c>
      <c r="G9" s="13">
        <v>23</v>
      </c>
      <c r="H9" s="4">
        <v>42755</v>
      </c>
      <c r="I9" s="4">
        <v>42795</v>
      </c>
      <c r="J9" s="4">
        <f>tblShift[[#This Row],[odometer_end]]-tblShift[[#This Row],[odometer_start]]</f>
        <v>40</v>
      </c>
      <c r="K9" s="13">
        <f>tblShift[[#This Row],[earnings]]+tblShift[[#This Row],[tips]]</f>
        <v>163.1</v>
      </c>
      <c r="L9" s="5" cm="1">
        <f t="array" ref="L9">tblShift[[#This Row],[total_time (hrs)]] *
 SUMPRODUCT(
   (tblExpense[cost_type]="Insurance") *
   (tblShift[[#This Row],[date]]&gt;=tblExpense[period_start]) *
   (tblShift[[#This Row],[date]]&lt;=tblExpense[period_end]) *
   tblExpense[cost_per_hour]
 )</f>
        <v>2.2893772893772892E-2</v>
      </c>
      <c r="M9" s="5" cm="1">
        <f t="array" ref="M9">tblShift[[#This Row],[total_time (hrs)]] *
 SUMPRODUCT(
   (tblExpense[cost_type]="Rego") *
   (tblShift[[#This Row],[date]]&gt;=tblExpense[period_start]) *
   (tblShift[[#This Row],[date]]&lt;=tblExpense[period_end]) *
   tblExpense[cost_per_hour]
 )</f>
        <v>1.6203703703703699E-2</v>
      </c>
      <c r="N9" s="20">
        <f>IFERROR(
    tblShift[[#This Row],[business_km]] *
    _xlfn.XLOOKUP(
        tblShift[[#This Row],[date]],
        tblService[invoice_date],
        tblService[cost_per_km],
        0,
        -1
    ),
0)</f>
        <v>0.10133333333333333</v>
      </c>
      <c r="O9" s="24">
        <f>IFERROR(
    tblShift[[#This Row],[business_km]] *
    _xlfn.XLOOKUP(
        tblShift[[#This Row],[date]],
        tblFuel[date],
        tblFuel[cost_per_km],
        0,
        -1
    ),
0)</f>
        <v>2.992</v>
      </c>
      <c r="P9" s="13">
        <f>tblShift[[#This Row],[insurance_expense]]+tblShift[[#This Row],[rego_expenses]]+tblShift[[#This Row],[service_expense]]+tblShift[[#This Row],[fuel_expense]]</f>
        <v>3.1324308099308098</v>
      </c>
      <c r="Q9" s="13">
        <f>tblShift[[#This Row],[total_income]]-tblShift[[#This Row],[total_expense]]</f>
        <v>159.96756919006918</v>
      </c>
      <c r="R9" s="13">
        <f>tblShift[[#This Row],[total_profit]]/(tblShift[[#This Row],[total_time (hrs)]]*24)</f>
        <v>39.991892297517303</v>
      </c>
      <c r="S9" s="13">
        <f>tblShift[[#This Row],[total_profit]]/tblShift[[#This Row],[business_km]]</f>
        <v>3.9991892297517295</v>
      </c>
      <c r="T9" s="10">
        <f>YEAR(tblShift[[#This Row],[date]])</f>
        <v>2025</v>
      </c>
      <c r="U9" s="13" t="str">
        <f>TEXT(tblShift[[#This Row],[date]],"MMM")</f>
        <v>Jan</v>
      </c>
      <c r="V9" s="10">
        <f>WEEKNUM(tblShift[[#This Row],[date]],2)</f>
        <v>3</v>
      </c>
      <c r="W9" s="3">
        <f>tblShift[[#This Row],[date]] - WEEKDAY(tblShift[[#This Row],[date]],2) + 1</f>
        <v>45670</v>
      </c>
      <c r="X9" s="3">
        <f>tblShift[[#This Row],[week_start]]+6</f>
        <v>45676</v>
      </c>
      <c r="Y9" s="13" t="str">
        <f>TEXT(tblShift[[#This Row],[week_start]],"dd MMM") &amp; " - " &amp; TEXT(tblShift[[#This Row],[week_end]],"dd MMM")</f>
        <v>13 Jan - 19 Jan</v>
      </c>
      <c r="Z9" s="10" t="str">
        <f>TEXT(tblShift[[#This Row],[date]],"ddd")</f>
        <v>Fri</v>
      </c>
      <c r="AA9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10" spans="1:27">
      <c r="A10" s="3">
        <v>45675</v>
      </c>
      <c r="B10" s="7">
        <v>0.70833333333333337</v>
      </c>
      <c r="C10" s="7">
        <v>0.875</v>
      </c>
      <c r="D10" s="7">
        <f>tblShift[[#This Row],[end_time]]-tblShift[[#This Row],[start_time]]</f>
        <v>0.16666666666666663</v>
      </c>
      <c r="E10" s="4">
        <v>8</v>
      </c>
      <c r="F10" s="13">
        <v>118.7</v>
      </c>
      <c r="G10" s="13">
        <v>17.5</v>
      </c>
      <c r="H10" s="4">
        <v>42795</v>
      </c>
      <c r="I10" s="4">
        <v>42833</v>
      </c>
      <c r="J10" s="4">
        <f>tblShift[[#This Row],[odometer_end]]-tblShift[[#This Row],[odometer_start]]</f>
        <v>38</v>
      </c>
      <c r="K10" s="13">
        <f>tblShift[[#This Row],[earnings]]+tblShift[[#This Row],[tips]]</f>
        <v>136.19999999999999</v>
      </c>
      <c r="L10" s="5" cm="1">
        <f t="array" ref="L10">tblShift[[#This Row],[total_time (hrs)]] *
 SUMPRODUCT(
   (tblExpense[cost_type]="Insurance") *
   (tblShift[[#This Row],[date]]&gt;=tblExpense[period_start]) *
   (tblShift[[#This Row],[date]]&lt;=tblExpense[period_end]) *
   tblExpense[cost_per_hour]
 )</f>
        <v>2.2893772893772892E-2</v>
      </c>
      <c r="M10" s="5" cm="1">
        <f t="array" ref="M10">tblShift[[#This Row],[total_time (hrs)]] *
 SUMPRODUCT(
   (tblExpense[cost_type]="Rego") *
   (tblShift[[#This Row],[date]]&gt;=tblExpense[period_start]) *
   (tblShift[[#This Row],[date]]&lt;=tblExpense[period_end]) *
   tblExpense[cost_per_hour]
 )</f>
        <v>1.6203703703703699E-2</v>
      </c>
      <c r="N10" s="20">
        <f>IFERROR(
    tblShift[[#This Row],[business_km]] *
    _xlfn.XLOOKUP(
        tblShift[[#This Row],[date]],
        tblService[invoice_date],
        tblService[cost_per_km],
        0,
        -1
    ),
0)</f>
        <v>9.6266666666666667E-2</v>
      </c>
      <c r="O10" s="24">
        <f>IFERROR(
    tblShift[[#This Row],[business_km]] *
    _xlfn.XLOOKUP(
        tblShift[[#This Row],[date]],
        tblFuel[date],
        tblFuel[cost_per_km],
        0,
        -1
    ),
0)</f>
        <v>2.8424</v>
      </c>
      <c r="P10" s="13">
        <f>tblShift[[#This Row],[insurance_expense]]+tblShift[[#This Row],[rego_expenses]]+tblShift[[#This Row],[service_expense]]+tblShift[[#This Row],[fuel_expense]]</f>
        <v>2.9777641432641433</v>
      </c>
      <c r="Q10" s="13">
        <f>tblShift[[#This Row],[total_income]]-tblShift[[#This Row],[total_expense]]</f>
        <v>133.22223585673584</v>
      </c>
      <c r="R10" s="13">
        <f>tblShift[[#This Row],[total_profit]]/(tblShift[[#This Row],[total_time (hrs)]]*24)</f>
        <v>33.305558964183966</v>
      </c>
      <c r="S10" s="13">
        <f>tblShift[[#This Row],[total_profit]]/tblShift[[#This Row],[business_km]]</f>
        <v>3.505848312019364</v>
      </c>
      <c r="T10" s="10">
        <f>YEAR(tblShift[[#This Row],[date]])</f>
        <v>2025</v>
      </c>
      <c r="U10" s="13" t="str">
        <f>TEXT(tblShift[[#This Row],[date]],"MMM")</f>
        <v>Jan</v>
      </c>
      <c r="V10" s="10">
        <f>WEEKNUM(tblShift[[#This Row],[date]],2)</f>
        <v>3</v>
      </c>
      <c r="W10" s="3">
        <f>tblShift[[#This Row],[date]] - WEEKDAY(tblShift[[#This Row],[date]],2) + 1</f>
        <v>45670</v>
      </c>
      <c r="X10" s="3">
        <f>tblShift[[#This Row],[week_start]]+6</f>
        <v>45676</v>
      </c>
      <c r="Y10" s="13" t="str">
        <f>TEXT(tblShift[[#This Row],[week_start]],"dd MMM") &amp; " - " &amp; TEXT(tblShift[[#This Row],[week_end]],"dd MMM")</f>
        <v>13 Jan - 19 Jan</v>
      </c>
      <c r="Z10" s="10" t="str">
        <f>TEXT(tblShift[[#This Row],[date]],"ddd")</f>
        <v>Sat</v>
      </c>
      <c r="AA10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11" spans="1:27">
      <c r="A11" s="3">
        <v>45676</v>
      </c>
      <c r="B11" s="7">
        <v>0.72916666666666663</v>
      </c>
      <c r="C11" s="7">
        <v>0.89583333333333337</v>
      </c>
      <c r="D11" s="7">
        <f>tblShift[[#This Row],[end_time]]-tblShift[[#This Row],[start_time]]</f>
        <v>0.16666666666666674</v>
      </c>
      <c r="E11" s="4">
        <v>7</v>
      </c>
      <c r="F11" s="13">
        <v>109.9</v>
      </c>
      <c r="G11" s="13">
        <v>15</v>
      </c>
      <c r="H11" s="4">
        <v>42833</v>
      </c>
      <c r="I11" s="4">
        <v>42870</v>
      </c>
      <c r="J11" s="4">
        <f>tblShift[[#This Row],[odometer_end]]-tblShift[[#This Row],[odometer_start]]</f>
        <v>37</v>
      </c>
      <c r="K11" s="13">
        <f>tblShift[[#This Row],[earnings]]+tblShift[[#This Row],[tips]]</f>
        <v>124.9</v>
      </c>
      <c r="L11" s="5" cm="1">
        <f t="array" ref="L11">tblShift[[#This Row],[total_time (hrs)]] *
 SUMPRODUCT(
   (tblExpense[cost_type]="Insurance") *
   (tblShift[[#This Row],[date]]&gt;=tblExpense[period_start]) *
   (tblShift[[#This Row],[date]]&lt;=tblExpense[period_end]) *
   tblExpense[cost_per_hour]
 )</f>
        <v>2.2893772893772906E-2</v>
      </c>
      <c r="M11" s="5" cm="1">
        <f t="array" ref="M11">tblShift[[#This Row],[total_time (hrs)]] *
 SUMPRODUCT(
   (tblExpense[cost_type]="Rego") *
   (tblShift[[#This Row],[date]]&gt;=tblExpense[period_start]) *
   (tblShift[[#This Row],[date]]&lt;=tblExpense[period_end]) *
   tblExpense[cost_per_hour]
 )</f>
        <v>1.620370370370371E-2</v>
      </c>
      <c r="N11" s="20">
        <f>IFERROR(
    tblShift[[#This Row],[business_km]] *
    _xlfn.XLOOKUP(
        tblShift[[#This Row],[date]],
        tblService[invoice_date],
        tblService[cost_per_km],
        0,
        -1
    ),
0)</f>
        <v>9.3733333333333321E-2</v>
      </c>
      <c r="O11" s="24">
        <f>IFERROR(
    tblShift[[#This Row],[business_km]] *
    _xlfn.XLOOKUP(
        tblShift[[#This Row],[date]],
        tblFuel[date],
        tblFuel[cost_per_km],
        0,
        -1
    ),
0)</f>
        <v>2.7676000000000003</v>
      </c>
      <c r="P11" s="13">
        <f>tblShift[[#This Row],[insurance_expense]]+tblShift[[#This Row],[rego_expenses]]+tblShift[[#This Row],[service_expense]]+tblShift[[#This Row],[fuel_expense]]</f>
        <v>2.90043080993081</v>
      </c>
      <c r="Q11" s="13">
        <f>tblShift[[#This Row],[total_income]]-tblShift[[#This Row],[total_expense]]</f>
        <v>121.9995691900692</v>
      </c>
      <c r="R11" s="13">
        <f>tblShift[[#This Row],[total_profit]]/(tblShift[[#This Row],[total_time (hrs)]]*24)</f>
        <v>30.499892297517285</v>
      </c>
      <c r="S11" s="13">
        <f>tblShift[[#This Row],[total_profit]]/tblShift[[#This Row],[business_km]]</f>
        <v>3.2972856537856541</v>
      </c>
      <c r="T11" s="10">
        <f>YEAR(tblShift[[#This Row],[date]])</f>
        <v>2025</v>
      </c>
      <c r="U11" s="13" t="str">
        <f>TEXT(tblShift[[#This Row],[date]],"MMM")</f>
        <v>Jan</v>
      </c>
      <c r="V11" s="10">
        <f>WEEKNUM(tblShift[[#This Row],[date]],2)</f>
        <v>3</v>
      </c>
      <c r="W11" s="3">
        <f>tblShift[[#This Row],[date]] - WEEKDAY(tblShift[[#This Row],[date]],2) + 1</f>
        <v>45670</v>
      </c>
      <c r="X11" s="3">
        <f>tblShift[[#This Row],[week_start]]+6</f>
        <v>45676</v>
      </c>
      <c r="Y11" s="13" t="str">
        <f>TEXT(tblShift[[#This Row],[week_start]],"dd MMM") &amp; " - " &amp; TEXT(tblShift[[#This Row],[week_end]],"dd MMM")</f>
        <v>13 Jan - 19 Jan</v>
      </c>
      <c r="Z11" s="10" t="str">
        <f>TEXT(tblShift[[#This Row],[date]],"ddd")</f>
        <v>Sun</v>
      </c>
      <c r="AA11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12" spans="1:27">
      <c r="A12" s="3">
        <v>45679</v>
      </c>
      <c r="B12" s="7">
        <v>0.54166666666666663</v>
      </c>
      <c r="C12" s="7">
        <v>0.66666666666666663</v>
      </c>
      <c r="D12" s="7">
        <f>tblShift[[#This Row],[end_time]]-tblShift[[#This Row],[start_time]]</f>
        <v>0.125</v>
      </c>
      <c r="E12" s="4">
        <v>6</v>
      </c>
      <c r="F12" s="13">
        <v>82.4</v>
      </c>
      <c r="G12" s="13">
        <v>11</v>
      </c>
      <c r="H12" s="4">
        <v>42870</v>
      </c>
      <c r="I12" s="4">
        <v>42898</v>
      </c>
      <c r="J12" s="4">
        <f>tblShift[[#This Row],[odometer_end]]-tblShift[[#This Row],[odometer_start]]</f>
        <v>28</v>
      </c>
      <c r="K12" s="13">
        <f>tblShift[[#This Row],[earnings]]+tblShift[[#This Row],[tips]]</f>
        <v>93.4</v>
      </c>
      <c r="L12" s="5" cm="1">
        <f t="array" ref="L12">tblShift[[#This Row],[total_time (hrs)]] *
 SUMPRODUCT(
   (tblExpense[cost_type]="Insurance") *
   (tblShift[[#This Row],[date]]&gt;=tblExpense[period_start]) *
   (tblShift[[#This Row],[date]]&lt;=tblExpense[period_end]) *
   tblExpense[cost_per_hour]
 )</f>
        <v>1.7170329670329672E-2</v>
      </c>
      <c r="M12" s="5" cm="1">
        <f t="array" ref="M12">tblShift[[#This Row],[total_time (hrs)]] *
 SUMPRODUCT(
   (tblExpense[cost_type]="Rego") *
   (tblShift[[#This Row],[date]]&gt;=tblExpense[period_start]) *
   (tblShift[[#This Row],[date]]&lt;=tblExpense[period_end]) *
   tblExpense[cost_per_hour]
 )</f>
        <v>1.2152777777777778E-2</v>
      </c>
      <c r="N12" s="20">
        <f>IFERROR(
    tblShift[[#This Row],[business_km]] *
    _xlfn.XLOOKUP(
        tblShift[[#This Row],[date]],
        tblService[invoice_date],
        tblService[cost_per_km],
        0,
        -1
    ),
0)</f>
        <v>7.0933333333333334E-2</v>
      </c>
      <c r="O12" s="24">
        <f>IFERROR(
    tblShift[[#This Row],[business_km]] *
    _xlfn.XLOOKUP(
        tblShift[[#This Row],[date]],
        tblFuel[date],
        tblFuel[cost_per_km],
        0,
        -1
    ),
0)</f>
        <v>2.1840000000000002</v>
      </c>
      <c r="P12" s="13">
        <f>tblShift[[#This Row],[insurance_expense]]+tblShift[[#This Row],[rego_expenses]]+tblShift[[#This Row],[service_expense]]+tblShift[[#This Row],[fuel_expense]]</f>
        <v>2.2842564407814407</v>
      </c>
      <c r="Q12" s="13">
        <f>tblShift[[#This Row],[total_income]]-tblShift[[#This Row],[total_expense]]</f>
        <v>91.115743559218572</v>
      </c>
      <c r="R12" s="13">
        <f>tblShift[[#This Row],[total_profit]]/(tblShift[[#This Row],[total_time (hrs)]]*24)</f>
        <v>30.371914519739523</v>
      </c>
      <c r="S12" s="13">
        <f>tblShift[[#This Row],[total_profit]]/tblShift[[#This Row],[business_km]]</f>
        <v>3.2541336985435203</v>
      </c>
      <c r="T12" s="10">
        <f>YEAR(tblShift[[#This Row],[date]])</f>
        <v>2025</v>
      </c>
      <c r="U12" s="13" t="str">
        <f>TEXT(tblShift[[#This Row],[date]],"MMM")</f>
        <v>Jan</v>
      </c>
      <c r="V12" s="10">
        <f>WEEKNUM(tblShift[[#This Row],[date]],2)</f>
        <v>4</v>
      </c>
      <c r="W12" s="3">
        <f>tblShift[[#This Row],[date]] - WEEKDAY(tblShift[[#This Row],[date]],2) + 1</f>
        <v>45677</v>
      </c>
      <c r="X12" s="3">
        <f>tblShift[[#This Row],[week_start]]+6</f>
        <v>45683</v>
      </c>
      <c r="Y12" s="13" t="str">
        <f>TEXT(tblShift[[#This Row],[week_start]],"dd MMM") &amp; " - " &amp; TEXT(tblShift[[#This Row],[week_end]],"dd MMM")</f>
        <v>20 Jan - 26 Jan</v>
      </c>
      <c r="Z12" s="10" t="str">
        <f>TEXT(tblShift[[#This Row],[date]],"ddd")</f>
        <v>Wed</v>
      </c>
      <c r="AA12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Lunch Peak</v>
      </c>
    </row>
    <row r="13" spans="1:27">
      <c r="A13" s="3">
        <v>45681</v>
      </c>
      <c r="B13" s="7">
        <v>0.75</v>
      </c>
      <c r="C13" s="7">
        <v>0.95833333333333337</v>
      </c>
      <c r="D13" s="7">
        <f>tblShift[[#This Row],[end_time]]-tblShift[[#This Row],[start_time]]</f>
        <v>0.20833333333333337</v>
      </c>
      <c r="E13" s="4">
        <v>11</v>
      </c>
      <c r="F13" s="13">
        <v>168.6</v>
      </c>
      <c r="G13" s="13">
        <v>26</v>
      </c>
      <c r="H13" s="4">
        <v>42898</v>
      </c>
      <c r="I13" s="4">
        <v>42948</v>
      </c>
      <c r="J13" s="4">
        <f>tblShift[[#This Row],[odometer_end]]-tblShift[[#This Row],[odometer_start]]</f>
        <v>50</v>
      </c>
      <c r="K13" s="13">
        <f>tblShift[[#This Row],[earnings]]+tblShift[[#This Row],[tips]]</f>
        <v>194.6</v>
      </c>
      <c r="L13" s="5" cm="1">
        <f t="array" ref="L13">tblShift[[#This Row],[total_time (hrs)]] *
 SUMPRODUCT(
   (tblExpense[cost_type]="Insurance") *
   (tblShift[[#This Row],[date]]&gt;=tblExpense[period_start]) *
   (tblShift[[#This Row],[date]]&lt;=tblExpense[period_end]) *
   tblExpense[cost_per_hour]
 )</f>
        <v>2.8617216117216123E-2</v>
      </c>
      <c r="M13" s="5" cm="1">
        <f t="array" ref="M13">tblShift[[#This Row],[total_time (hrs)]] *
 SUMPRODUCT(
   (tblExpense[cost_type]="Rego") *
   (tblShift[[#This Row],[date]]&gt;=tblExpense[period_start]) *
   (tblShift[[#This Row],[date]]&lt;=tblExpense[period_end]) *
   tblExpense[cost_per_hour]
 )</f>
        <v>2.0254629629629633E-2</v>
      </c>
      <c r="N13" s="20">
        <f>IFERROR(
    tblShift[[#This Row],[business_km]] *
    _xlfn.XLOOKUP(
        tblShift[[#This Row],[date]],
        tblService[invoice_date],
        tblService[cost_per_km],
        0,
        -1
    ),
0)</f>
        <v>0.12666666666666665</v>
      </c>
      <c r="O13" s="24">
        <f>IFERROR(
    tblShift[[#This Row],[business_km]] *
    _xlfn.XLOOKUP(
        tblShift[[#This Row],[date]],
        tblFuel[date],
        tblFuel[cost_per_km],
        0,
        -1
    ),
0)</f>
        <v>3.9</v>
      </c>
      <c r="P13" s="13">
        <f>tblShift[[#This Row],[insurance_expense]]+tblShift[[#This Row],[rego_expenses]]+tblShift[[#This Row],[service_expense]]+tblShift[[#This Row],[fuel_expense]]</f>
        <v>4.0755385124135124</v>
      </c>
      <c r="Q13" s="13">
        <f>tblShift[[#This Row],[total_income]]-tblShift[[#This Row],[total_expense]]</f>
        <v>190.52446148758648</v>
      </c>
      <c r="R13" s="13">
        <f>tblShift[[#This Row],[total_profit]]/(tblShift[[#This Row],[total_time (hrs)]]*24)</f>
        <v>38.104892297517289</v>
      </c>
      <c r="S13" s="13">
        <f>tblShift[[#This Row],[total_profit]]/tblShift[[#This Row],[business_km]]</f>
        <v>3.8104892297517297</v>
      </c>
      <c r="T13" s="10">
        <f>YEAR(tblShift[[#This Row],[date]])</f>
        <v>2025</v>
      </c>
      <c r="U13" s="13" t="str">
        <f>TEXT(tblShift[[#This Row],[date]],"MMM")</f>
        <v>Jan</v>
      </c>
      <c r="V13" s="10">
        <f>WEEKNUM(tblShift[[#This Row],[date]],2)</f>
        <v>4</v>
      </c>
      <c r="W13" s="3">
        <f>tblShift[[#This Row],[date]] - WEEKDAY(tblShift[[#This Row],[date]],2) + 1</f>
        <v>45677</v>
      </c>
      <c r="X13" s="3">
        <f>tblShift[[#This Row],[week_start]]+6</f>
        <v>45683</v>
      </c>
      <c r="Y13" s="13" t="str">
        <f>TEXT(tblShift[[#This Row],[week_start]],"dd MMM") &amp; " - " &amp; TEXT(tblShift[[#This Row],[week_end]],"dd MMM")</f>
        <v>20 Jan - 26 Jan</v>
      </c>
      <c r="Z13" s="10" t="str">
        <f>TEXT(tblShift[[#This Row],[date]],"ddd")</f>
        <v>Fri</v>
      </c>
      <c r="AA13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14" spans="1:27">
      <c r="A14" s="3">
        <v>45682</v>
      </c>
      <c r="B14" s="7">
        <v>0.6875</v>
      </c>
      <c r="C14" s="7">
        <v>0.875</v>
      </c>
      <c r="D14" s="7">
        <f>tblShift[[#This Row],[end_time]]-tblShift[[#This Row],[start_time]]</f>
        <v>0.1875</v>
      </c>
      <c r="E14" s="4">
        <v>9</v>
      </c>
      <c r="F14" s="13">
        <v>136.4</v>
      </c>
      <c r="G14" s="13">
        <v>19</v>
      </c>
      <c r="H14" s="4">
        <v>42948</v>
      </c>
      <c r="I14" s="4">
        <v>42990</v>
      </c>
      <c r="J14" s="4">
        <f>tblShift[[#This Row],[odometer_end]]-tblShift[[#This Row],[odometer_start]]</f>
        <v>42</v>
      </c>
      <c r="K14" s="13">
        <f>tblShift[[#This Row],[earnings]]+tblShift[[#This Row],[tips]]</f>
        <v>155.4</v>
      </c>
      <c r="L14" s="5" cm="1">
        <f t="array" ref="L14">tblShift[[#This Row],[total_time (hrs)]] *
 SUMPRODUCT(
   (tblExpense[cost_type]="Insurance") *
   (tblShift[[#This Row],[date]]&gt;=tblExpense[period_start]) *
   (tblShift[[#This Row],[date]]&lt;=tblExpense[period_end]) *
   tblExpense[cost_per_hour]
 )</f>
        <v>2.5755494505494508E-2</v>
      </c>
      <c r="M14" s="5" cm="1">
        <f t="array" ref="M14">tblShift[[#This Row],[total_time (hrs)]] *
 SUMPRODUCT(
   (tblExpense[cost_type]="Rego") *
   (tblShift[[#This Row],[date]]&gt;=tblExpense[period_start]) *
   (tblShift[[#This Row],[date]]&lt;=tblExpense[period_end]) *
   tblExpense[cost_per_hour]
 )</f>
        <v>1.8229166666666668E-2</v>
      </c>
      <c r="N14" s="20">
        <f>IFERROR(
    tblShift[[#This Row],[business_km]] *
    _xlfn.XLOOKUP(
        tblShift[[#This Row],[date]],
        tblService[invoice_date],
        tblService[cost_per_km],
        0,
        -1
    ),
0)</f>
        <v>0.10639999999999999</v>
      </c>
      <c r="O14" s="24">
        <f>IFERROR(
    tblShift[[#This Row],[business_km]] *
    _xlfn.XLOOKUP(
        tblShift[[#This Row],[date]],
        tblFuel[date],
        tblFuel[cost_per_km],
        0,
        -1
    ),
0)</f>
        <v>3.2759999999999998</v>
      </c>
      <c r="P14" s="13">
        <f>tblShift[[#This Row],[insurance_expense]]+tblShift[[#This Row],[rego_expenses]]+tblShift[[#This Row],[service_expense]]+tblShift[[#This Row],[fuel_expense]]</f>
        <v>3.4263846611721611</v>
      </c>
      <c r="Q14" s="13">
        <f>tblShift[[#This Row],[total_income]]-tblShift[[#This Row],[total_expense]]</f>
        <v>151.97361533882784</v>
      </c>
      <c r="R14" s="13">
        <f>tblShift[[#This Row],[total_profit]]/(tblShift[[#This Row],[total_time (hrs)]]*24)</f>
        <v>33.771914519739518</v>
      </c>
      <c r="S14" s="13">
        <f>tblShift[[#This Row],[total_profit]]/tblShift[[#This Row],[business_km]]</f>
        <v>3.6184194128292342</v>
      </c>
      <c r="T14" s="10">
        <f>YEAR(tblShift[[#This Row],[date]])</f>
        <v>2025</v>
      </c>
      <c r="U14" s="13" t="str">
        <f>TEXT(tblShift[[#This Row],[date]],"MMM")</f>
        <v>Jan</v>
      </c>
      <c r="V14" s="10">
        <f>WEEKNUM(tblShift[[#This Row],[date]],2)</f>
        <v>4</v>
      </c>
      <c r="W14" s="3">
        <f>tblShift[[#This Row],[date]] - WEEKDAY(tblShift[[#This Row],[date]],2) + 1</f>
        <v>45677</v>
      </c>
      <c r="X14" s="3">
        <f>tblShift[[#This Row],[week_start]]+6</f>
        <v>45683</v>
      </c>
      <c r="Y14" s="13" t="str">
        <f>TEXT(tblShift[[#This Row],[week_start]],"dd MMM") &amp; " - " &amp; TEXT(tblShift[[#This Row],[week_end]],"dd MMM")</f>
        <v>20 Jan - 26 Jan</v>
      </c>
      <c r="Z14" s="10" t="str">
        <f>TEXT(tblShift[[#This Row],[date]],"ddd")</f>
        <v>Sat</v>
      </c>
      <c r="AA14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Afternoon Slump</v>
      </c>
    </row>
    <row r="15" spans="1:27">
      <c r="A15" s="3">
        <v>45683</v>
      </c>
      <c r="B15" s="7">
        <v>0.75</v>
      </c>
      <c r="C15" s="7">
        <v>0.89583333333333337</v>
      </c>
      <c r="D15" s="7">
        <f>tblShift[[#This Row],[end_time]]-tblShift[[#This Row],[start_time]]</f>
        <v>0.14583333333333337</v>
      </c>
      <c r="E15" s="4">
        <v>7</v>
      </c>
      <c r="F15" s="13">
        <v>104.3</v>
      </c>
      <c r="G15" s="13">
        <v>14</v>
      </c>
      <c r="H15" s="4">
        <v>42990</v>
      </c>
      <c r="I15" s="4">
        <v>43024</v>
      </c>
      <c r="J15" s="4">
        <f>tblShift[[#This Row],[odometer_end]]-tblShift[[#This Row],[odometer_start]]</f>
        <v>34</v>
      </c>
      <c r="K15" s="13">
        <f>tblShift[[#This Row],[earnings]]+tblShift[[#This Row],[tips]]</f>
        <v>118.3</v>
      </c>
      <c r="L15" s="5" cm="1">
        <f t="array" ref="L15">tblShift[[#This Row],[total_time (hrs)]] *
 SUMPRODUCT(
   (tblExpense[cost_type]="Insurance") *
   (tblShift[[#This Row],[date]]&gt;=tblExpense[period_start]) *
   (tblShift[[#This Row],[date]]&lt;=tblExpense[period_end]) *
   tblExpense[cost_per_hour]
 )</f>
        <v>2.0032051282051287E-2</v>
      </c>
      <c r="M15" s="5" cm="1">
        <f t="array" ref="M15">tblShift[[#This Row],[total_time (hrs)]] *
 SUMPRODUCT(
   (tblExpense[cost_type]="Rego") *
   (tblShift[[#This Row],[date]]&gt;=tblExpense[period_start]) *
   (tblShift[[#This Row],[date]]&lt;=tblExpense[period_end]) *
   tblExpense[cost_per_hour]
 )</f>
        <v>1.4178240740740745E-2</v>
      </c>
      <c r="N15" s="20">
        <f>IFERROR(
    tblShift[[#This Row],[business_km]] *
    _xlfn.XLOOKUP(
        tblShift[[#This Row],[date]],
        tblService[invoice_date],
        tblService[cost_per_km],
        0,
        -1
    ),
0)</f>
        <v>8.6133333333333326E-2</v>
      </c>
      <c r="O15" s="24">
        <f>IFERROR(
    tblShift[[#This Row],[business_km]] *
    _xlfn.XLOOKUP(
        tblShift[[#This Row],[date]],
        tblFuel[date],
        tblFuel[cost_per_km],
        0,
        -1
    ),
0)</f>
        <v>2.5840000000000001</v>
      </c>
      <c r="P15" s="13">
        <f>tblShift[[#This Row],[insurance_expense]]+tblShift[[#This Row],[rego_expenses]]+tblShift[[#This Row],[service_expense]]+tblShift[[#This Row],[fuel_expense]]</f>
        <v>2.7043436253561253</v>
      </c>
      <c r="Q15" s="13">
        <f>tblShift[[#This Row],[total_income]]-tblShift[[#This Row],[total_expense]]</f>
        <v>115.59565637464387</v>
      </c>
      <c r="R15" s="13">
        <f>tblShift[[#This Row],[total_profit]]/(tblShift[[#This Row],[total_time (hrs)]]*24)</f>
        <v>33.027330392755381</v>
      </c>
      <c r="S15" s="13">
        <f>tblShift[[#This Row],[total_profit]]/tblShift[[#This Row],[business_km]]</f>
        <v>3.3998722463130551</v>
      </c>
      <c r="T15" s="10">
        <f>YEAR(tblShift[[#This Row],[date]])</f>
        <v>2025</v>
      </c>
      <c r="U15" s="13" t="str">
        <f>TEXT(tblShift[[#This Row],[date]],"MMM")</f>
        <v>Jan</v>
      </c>
      <c r="V15" s="10">
        <f>WEEKNUM(tblShift[[#This Row],[date]],2)</f>
        <v>4</v>
      </c>
      <c r="W15" s="3">
        <f>tblShift[[#This Row],[date]] - WEEKDAY(tblShift[[#This Row],[date]],2) + 1</f>
        <v>45677</v>
      </c>
      <c r="X15" s="3">
        <f>tblShift[[#This Row],[week_start]]+6</f>
        <v>45683</v>
      </c>
      <c r="Y15" s="13" t="str">
        <f>TEXT(tblShift[[#This Row],[week_start]],"dd MMM") &amp; " - " &amp; TEXT(tblShift[[#This Row],[week_end]],"dd MMM")</f>
        <v>20 Jan - 26 Jan</v>
      </c>
      <c r="Z15" s="10" t="str">
        <f>TEXT(tblShift[[#This Row],[date]],"ddd")</f>
        <v>Sun</v>
      </c>
      <c r="AA15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Dinner Rush</v>
      </c>
    </row>
    <row r="16" spans="1:27">
      <c r="A16" s="3">
        <v>45685</v>
      </c>
      <c r="B16" s="7">
        <v>0.47916666666666669</v>
      </c>
      <c r="C16" s="7">
        <v>0.58333333333333337</v>
      </c>
      <c r="D16" s="7">
        <f>tblShift[[#This Row],[end_time]]-tblShift[[#This Row],[start_time]]</f>
        <v>0.10416666666666669</v>
      </c>
      <c r="E16" s="4">
        <v>4</v>
      </c>
      <c r="F16" s="13">
        <v>56.9</v>
      </c>
      <c r="G16" s="13">
        <v>8</v>
      </c>
      <c r="H16" s="4">
        <v>43024</v>
      </c>
      <c r="I16" s="4">
        <v>43046</v>
      </c>
      <c r="J16" s="4">
        <f>tblShift[[#This Row],[odometer_end]]-tblShift[[#This Row],[odometer_start]]</f>
        <v>22</v>
      </c>
      <c r="K16" s="13">
        <f>tblShift[[#This Row],[earnings]]+tblShift[[#This Row],[tips]]</f>
        <v>64.900000000000006</v>
      </c>
      <c r="L16" s="5" cm="1">
        <f t="array" ref="L16">tblShift[[#This Row],[total_time (hrs)]] *
 SUMPRODUCT(
   (tblExpense[cost_type]="Insurance") *
   (tblShift[[#This Row],[date]]&gt;=tblExpense[period_start]) *
   (tblShift[[#This Row],[date]]&lt;=tblExpense[period_end]) *
   tblExpense[cost_per_hour]
 )</f>
        <v>1.4308608058608062E-2</v>
      </c>
      <c r="M16" s="5" cm="1">
        <f t="array" ref="M16">tblShift[[#This Row],[total_time (hrs)]] *
 SUMPRODUCT(
   (tblExpense[cost_type]="Rego") *
   (tblShift[[#This Row],[date]]&gt;=tblExpense[period_start]) *
   (tblShift[[#This Row],[date]]&lt;=tblExpense[period_end]) *
   tblExpense[cost_per_hour]
 )</f>
        <v>1.0127314814814816E-2</v>
      </c>
      <c r="N16" s="20">
        <f>IFERROR(
    tblShift[[#This Row],[business_km]] *
    _xlfn.XLOOKUP(
        tblShift[[#This Row],[date]],
        tblService[invoice_date],
        tblService[cost_per_km],
        0,
        -1
    ),
0)</f>
        <v>5.5733333333333329E-2</v>
      </c>
      <c r="O16" s="24">
        <f>IFERROR(
    tblShift[[#This Row],[business_km]] *
    _xlfn.XLOOKUP(
        tblShift[[#This Row],[date]],
        tblFuel[date],
        tblFuel[cost_per_km],
        0,
        -1
    ),
0)</f>
        <v>1.6719999999999999</v>
      </c>
      <c r="P16" s="13">
        <f>tblShift[[#This Row],[insurance_expense]]+tblShift[[#This Row],[rego_expenses]]+tblShift[[#This Row],[service_expense]]+tblShift[[#This Row],[fuel_expense]]</f>
        <v>1.7521692562067561</v>
      </c>
      <c r="Q16" s="13">
        <f>tblShift[[#This Row],[total_income]]-tblShift[[#This Row],[total_expense]]</f>
        <v>63.14783074379325</v>
      </c>
      <c r="R16" s="13">
        <f>tblShift[[#This Row],[total_profit]]/(tblShift[[#This Row],[total_time (hrs)]]*24)</f>
        <v>25.259132297517297</v>
      </c>
      <c r="S16" s="13">
        <f>tblShift[[#This Row],[total_profit]]/tblShift[[#This Row],[business_km]]</f>
        <v>2.870355942899693</v>
      </c>
      <c r="T16" s="10">
        <f>YEAR(tblShift[[#This Row],[date]])</f>
        <v>2025</v>
      </c>
      <c r="U16" s="13" t="str">
        <f>TEXT(tblShift[[#This Row],[date]],"MMM")</f>
        <v>Jan</v>
      </c>
      <c r="V16" s="10">
        <f>WEEKNUM(tblShift[[#This Row],[date]],2)</f>
        <v>5</v>
      </c>
      <c r="W16" s="3">
        <f>tblShift[[#This Row],[date]] - WEEKDAY(tblShift[[#This Row],[date]],2) + 1</f>
        <v>45684</v>
      </c>
      <c r="X16" s="3">
        <f>tblShift[[#This Row],[week_start]]+6</f>
        <v>45690</v>
      </c>
      <c r="Y16" s="13" t="str">
        <f>TEXT(tblShift[[#This Row],[week_start]],"dd MMM") &amp; " - " &amp; TEXT(tblShift[[#This Row],[week_end]],"dd MMM")</f>
        <v>27 Jan - 02 Feb</v>
      </c>
      <c r="Z16" s="10" t="str">
        <f>TEXT(tblShift[[#This Row],[date]],"ddd")</f>
        <v>Tue</v>
      </c>
      <c r="AA16" s="4" t="str">
        <f>IF(tblShift[[#This Row],[start_time]]&lt;TIME(7,0,0),"Late Night",
 IF(tblShift[[#This Row],[start_time]]&lt;TIME(11,0,0),"Breakfast Rush",
 IF(tblShift[[#This Row],[start_time]]&lt;TIME(15,0,0),"Lunch Peak",
 IF(tblShift[[#This Row],[start_time]]&lt;TIME(17,0,0),"Afternoon Slump",
 IF(tblShift[[#This Row],[start_time]]&lt;TIME(22,0,0),"Dinner Rush",
 "Late Night")))))</f>
        <v>Lunch Peak</v>
      </c>
    </row>
    <row r="34" spans="5:5">
      <c r="E34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4F70-6C1D-7B4A-AE8E-36EB89B4F3FC}">
  <dimension ref="A1:G3"/>
  <sheetViews>
    <sheetView workbookViewId="0">
      <selection activeCell="F37" sqref="F37"/>
    </sheetView>
  </sheetViews>
  <sheetFormatPr baseColWidth="10" defaultRowHeight="16"/>
  <cols>
    <col min="1" max="5" width="20.83203125" customWidth="1"/>
    <col min="6" max="6" width="23.6640625" style="11" customWidth="1"/>
    <col min="7" max="7" width="17.8320312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9" t="s">
        <v>28</v>
      </c>
      <c r="G1" s="1" t="s">
        <v>29</v>
      </c>
    </row>
    <row r="2" spans="1:7">
      <c r="A2" s="4" t="s">
        <v>24</v>
      </c>
      <c r="B2" s="3">
        <v>45658</v>
      </c>
      <c r="C2" s="3">
        <v>45658</v>
      </c>
      <c r="D2" s="3">
        <v>46022</v>
      </c>
      <c r="E2" s="5">
        <v>1200</v>
      </c>
      <c r="F2" s="10">
        <f>(tblExpense[[#This Row],[period_end]]-tblExpense[[#This Row],[period_start]])*24</f>
        <v>8736</v>
      </c>
      <c r="G2" s="5">
        <f>tblExpense[[#This Row],[total_cost]]/tblExpense[[#This Row],[total_hour]]</f>
        <v>0.13736263736263737</v>
      </c>
    </row>
    <row r="3" spans="1:7">
      <c r="A3" s="4" t="s">
        <v>25</v>
      </c>
      <c r="B3" s="3">
        <v>45658</v>
      </c>
      <c r="C3" s="3">
        <v>45658</v>
      </c>
      <c r="D3" s="3">
        <v>45838</v>
      </c>
      <c r="E3" s="5">
        <v>420</v>
      </c>
      <c r="F3" s="10">
        <f>(tblExpense[[#This Row],[period_end]]-tblExpense[[#This Row],[period_start]])*24</f>
        <v>4320</v>
      </c>
      <c r="G3" s="5">
        <f>tblExpense[[#This Row],[total_cost]]/tblExpense[[#This Row],[total_hour]]</f>
        <v>9.7222222222222224E-2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6CCA-72AE-3F45-9B56-12806487D3C8}">
  <dimension ref="A1:G3"/>
  <sheetViews>
    <sheetView workbookViewId="0">
      <selection sqref="A1:D2"/>
    </sheetView>
  </sheetViews>
  <sheetFormatPr baseColWidth="10" defaultRowHeight="16"/>
  <cols>
    <col min="1" max="4" width="20.83203125" customWidth="1"/>
    <col min="5" max="5" width="16.1640625" customWidth="1"/>
    <col min="6" max="6" width="18.5" customWidth="1"/>
  </cols>
  <sheetData>
    <row r="1" spans="1:7">
      <c r="A1" s="16" t="s">
        <v>11</v>
      </c>
      <c r="B1" s="16" t="s">
        <v>14</v>
      </c>
      <c r="C1" s="17" t="s">
        <v>30</v>
      </c>
      <c r="D1" s="15" t="s">
        <v>31</v>
      </c>
    </row>
    <row r="2" spans="1:7">
      <c r="A2" s="3">
        <v>45673</v>
      </c>
      <c r="B2" s="5">
        <v>380</v>
      </c>
      <c r="C2" s="10">
        <v>150000</v>
      </c>
      <c r="D2" s="18">
        <f>tblService[[#This Row],[total_cost]]/tblService[[#This Row],[km_covered]]</f>
        <v>2.5333333333333332E-3</v>
      </c>
      <c r="E2" s="5"/>
      <c r="F2" s="10"/>
      <c r="G2" s="5"/>
    </row>
    <row r="3" spans="1:7">
      <c r="A3" s="3"/>
      <c r="B3" s="5"/>
      <c r="C3" s="10"/>
      <c r="D3" s="1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9009-E5A3-C746-A1F1-FEDF344CCE8A}">
  <dimension ref="A1:G6"/>
  <sheetViews>
    <sheetView workbookViewId="0">
      <selection activeCell="F29" sqref="F29"/>
    </sheetView>
  </sheetViews>
  <sheetFormatPr baseColWidth="10" defaultRowHeight="16"/>
  <cols>
    <col min="1" max="5" width="20.83203125" customWidth="1"/>
    <col min="6" max="6" width="22.5" customWidth="1"/>
    <col min="7" max="7" width="14.1640625" customWidth="1"/>
    <col min="9" max="9" width="20.33203125" customWidth="1"/>
    <col min="10" max="10" width="19.83203125" customWidth="1"/>
    <col min="11" max="11" width="16.6640625" customWidth="1"/>
  </cols>
  <sheetData>
    <row r="1" spans="1:7">
      <c r="A1" s="1" t="s">
        <v>0</v>
      </c>
      <c r="B1" s="1" t="s">
        <v>15</v>
      </c>
      <c r="C1" s="1" t="s">
        <v>16</v>
      </c>
      <c r="D1" s="1" t="s">
        <v>17</v>
      </c>
      <c r="E1" s="1" t="s">
        <v>14</v>
      </c>
      <c r="F1" s="1" t="s">
        <v>34</v>
      </c>
      <c r="G1" s="1" t="s">
        <v>31</v>
      </c>
    </row>
    <row r="2" spans="1:7">
      <c r="A2" s="3">
        <v>45661</v>
      </c>
      <c r="B2" s="4">
        <v>42540</v>
      </c>
      <c r="C2" s="4">
        <v>30</v>
      </c>
      <c r="D2" s="5">
        <v>1.89</v>
      </c>
      <c r="E2" s="5">
        <v>56.7</v>
      </c>
      <c r="F2" s="4">
        <v>4</v>
      </c>
      <c r="G2" s="5">
        <f>(tblFuel[[#This Row],[price_per_litres]]*tblFuel[[#This Row],[fuel_litres_per_100km]])/100</f>
        <v>7.5600000000000001E-2</v>
      </c>
    </row>
    <row r="3" spans="1:7">
      <c r="A3" s="3">
        <v>45666</v>
      </c>
      <c r="B3" s="4">
        <v>42620</v>
      </c>
      <c r="C3" s="4">
        <v>28.5</v>
      </c>
      <c r="D3" s="5">
        <v>1.92</v>
      </c>
      <c r="E3" s="5">
        <v>54.72</v>
      </c>
      <c r="F3" s="4">
        <v>4</v>
      </c>
      <c r="G3" s="5">
        <f>(tblFuel[[#This Row],[price_per_litres]]*tblFuel[[#This Row],[fuel_litres_per_100km]])/100</f>
        <v>7.6799999999999993E-2</v>
      </c>
    </row>
    <row r="4" spans="1:7">
      <c r="A4" s="3">
        <v>45671</v>
      </c>
      <c r="B4" s="4">
        <v>42720</v>
      </c>
      <c r="C4" s="4">
        <v>31.2</v>
      </c>
      <c r="D4" s="5">
        <v>1.87</v>
      </c>
      <c r="E4" s="5">
        <v>58.34</v>
      </c>
      <c r="F4" s="4">
        <v>4</v>
      </c>
      <c r="G4" s="5">
        <f>(tblFuel[[#This Row],[price_per_litres]]*tblFuel[[#This Row],[fuel_litres_per_100km]])/100</f>
        <v>7.4800000000000005E-2</v>
      </c>
    </row>
    <row r="5" spans="1:7">
      <c r="A5" s="3">
        <v>45677</v>
      </c>
      <c r="B5" s="4">
        <v>42840</v>
      </c>
      <c r="C5" s="4">
        <v>29</v>
      </c>
      <c r="D5" s="5">
        <v>1.95</v>
      </c>
      <c r="E5" s="5">
        <v>56.55</v>
      </c>
      <c r="F5" s="4">
        <v>4</v>
      </c>
      <c r="G5" s="5">
        <f>(tblFuel[[#This Row],[price_per_litres]]*tblFuel[[#This Row],[fuel_litres_per_100km]])/100</f>
        <v>7.8E-2</v>
      </c>
    </row>
    <row r="6" spans="1:7">
      <c r="A6" s="3">
        <v>45683</v>
      </c>
      <c r="B6" s="4">
        <v>43000</v>
      </c>
      <c r="C6" s="4">
        <v>32</v>
      </c>
      <c r="D6" s="5">
        <v>1.9</v>
      </c>
      <c r="E6" s="5">
        <v>60.8</v>
      </c>
      <c r="F6" s="4">
        <v>4</v>
      </c>
      <c r="G6" s="5">
        <f>(tblFuel[[#This Row],[price_per_litres]]*tblFuel[[#This Row],[fuel_litres_per_100km]])/100</f>
        <v>7.5999999999999998E-2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report</vt:lpstr>
      <vt:lpstr>profit_per_hour</vt:lpstr>
      <vt:lpstr>profit_per_km</vt:lpstr>
      <vt:lpstr>best_day_to_dash</vt:lpstr>
      <vt:lpstr>best_time_to_dash</vt:lpstr>
      <vt:lpstr>shift</vt:lpstr>
      <vt:lpstr>expenses</vt:lpstr>
      <vt:lpstr>car_services</vt:lpstr>
      <vt:lpstr>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Nguyen</dc:creator>
  <cp:lastModifiedBy>Tony Nguyen</cp:lastModifiedBy>
  <dcterms:created xsi:type="dcterms:W3CDTF">2025-12-04T23:25:29Z</dcterms:created>
  <dcterms:modified xsi:type="dcterms:W3CDTF">2025-12-05T22:02:30Z</dcterms:modified>
</cp:coreProperties>
</file>